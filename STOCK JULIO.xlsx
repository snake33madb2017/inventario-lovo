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7"/>
  <workbookPr codeName="ThisWorkbook"/>
  <xr:revisionPtr revIDLastSave="0" documentId="8_{983EAC0A-B2F8-124C-AF98-CCB60C4BDBB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os-precio" sheetId="25" r:id="rId1"/>
    <sheet name="stock reed hihgball" sheetId="29" r:id="rId2"/>
    <sheet name="Stock lovo" sheetId="27" r:id="rId3"/>
    <sheet name="Stock producciones" sheetId="2" r:id="rId4"/>
    <sheet name="Cristaleria" sheetId="28" r:id="rId5"/>
    <sheet name="Producciones" sheetId="30" r:id="rId6"/>
  </sheets>
  <externalReferences>
    <externalReference r:id="rId7"/>
    <externalReference r:id="rId8"/>
    <externalReference r:id="rId9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7" i="27" l="1"/>
  <c r="C375" i="27"/>
  <c r="C377" i="27"/>
  <c r="C209" i="27"/>
  <c r="C257" i="27"/>
  <c r="C125" i="27"/>
  <c r="C139" i="27"/>
  <c r="C109" i="27"/>
  <c r="C521" i="27"/>
  <c r="C206" i="27"/>
  <c r="C169" i="27"/>
  <c r="C155" i="27"/>
  <c r="C176" i="27"/>
  <c r="C589" i="27"/>
  <c r="E545" i="27"/>
  <c r="E538" i="27"/>
  <c r="C536" i="27"/>
  <c r="C550" i="27"/>
  <c r="C587" i="27"/>
  <c r="C564" i="27"/>
  <c r="C572" i="27"/>
  <c r="N69" i="2"/>
  <c r="O72" i="2"/>
  <c r="E174" i="27"/>
  <c r="E279" i="27"/>
  <c r="E285" i="27"/>
  <c r="K8" i="2"/>
  <c r="N8" i="2"/>
  <c r="L9" i="2"/>
  <c r="K9" i="2"/>
  <c r="N9" i="2"/>
  <c r="O10" i="2"/>
  <c r="K18" i="2"/>
  <c r="N18" i="2"/>
  <c r="L19" i="2"/>
  <c r="K19" i="2"/>
  <c r="N19" i="2"/>
  <c r="O21" i="2"/>
  <c r="K36" i="2"/>
  <c r="N36" i="2"/>
  <c r="L37" i="2"/>
  <c r="K37" i="2"/>
  <c r="N37" i="2"/>
  <c r="O38" i="2"/>
  <c r="K56" i="2"/>
  <c r="N56" i="2"/>
  <c r="L57" i="2"/>
  <c r="K57" i="2"/>
  <c r="N57" i="2"/>
  <c r="O58" i="2"/>
  <c r="K76" i="2"/>
  <c r="N76" i="2"/>
  <c r="L77" i="2"/>
  <c r="K77" i="2"/>
  <c r="N77" i="2"/>
  <c r="O78" i="2"/>
  <c r="K86" i="2"/>
  <c r="N86" i="2"/>
  <c r="L87" i="2"/>
  <c r="K87" i="2"/>
  <c r="N87" i="2"/>
  <c r="O88" i="2"/>
  <c r="K93" i="2"/>
  <c r="N93" i="2"/>
  <c r="L94" i="2"/>
  <c r="K94" i="2"/>
  <c r="N94" i="2"/>
  <c r="O95" i="2"/>
  <c r="K102" i="2"/>
  <c r="N102" i="2"/>
  <c r="L103" i="2"/>
  <c r="K103" i="2"/>
  <c r="N103" i="2"/>
  <c r="O104" i="2"/>
  <c r="K114" i="2"/>
  <c r="N114" i="2"/>
  <c r="L115" i="2"/>
  <c r="K115" i="2"/>
  <c r="N115" i="2"/>
  <c r="O116" i="2"/>
  <c r="K121" i="2"/>
  <c r="N121" i="2"/>
  <c r="L122" i="2"/>
  <c r="K122" i="2"/>
  <c r="N122" i="2"/>
  <c r="O123" i="2"/>
  <c r="K129" i="2"/>
  <c r="N129" i="2"/>
  <c r="L130" i="2"/>
  <c r="K130" i="2"/>
  <c r="N130" i="2"/>
  <c r="O131" i="2"/>
  <c r="K138" i="2"/>
  <c r="N138" i="2"/>
  <c r="L139" i="2"/>
  <c r="K139" i="2"/>
  <c r="N139" i="2"/>
  <c r="O140" i="2"/>
  <c r="K147" i="2"/>
  <c r="N147" i="2"/>
  <c r="L148" i="2"/>
  <c r="K148" i="2"/>
  <c r="N148" i="2"/>
  <c r="O149" i="2"/>
  <c r="K165" i="2"/>
  <c r="N165" i="2"/>
  <c r="L166" i="2"/>
  <c r="K166" i="2"/>
  <c r="N166" i="2"/>
  <c r="O167" i="2"/>
  <c r="K175" i="2"/>
  <c r="N175" i="2"/>
  <c r="L176" i="2"/>
  <c r="K176" i="2"/>
  <c r="N176" i="2"/>
  <c r="O177" i="2"/>
  <c r="K182" i="2"/>
  <c r="N182" i="2"/>
  <c r="O184" i="2"/>
  <c r="K189" i="2"/>
  <c r="N189" i="2"/>
  <c r="O191" i="2"/>
  <c r="K196" i="2"/>
  <c r="N196" i="2"/>
  <c r="O198" i="2"/>
  <c r="K209" i="2"/>
  <c r="N209" i="2"/>
  <c r="L210" i="2"/>
  <c r="K210" i="2"/>
  <c r="N210" i="2"/>
  <c r="O211" i="2"/>
  <c r="K219" i="2"/>
  <c r="N219" i="2"/>
  <c r="L220" i="2"/>
  <c r="K220" i="2"/>
  <c r="N220" i="2"/>
  <c r="O221" i="2"/>
  <c r="K228" i="2"/>
  <c r="N228" i="2"/>
  <c r="L229" i="2"/>
  <c r="K229" i="2"/>
  <c r="N229" i="2"/>
  <c r="O230" i="2"/>
  <c r="K238" i="2"/>
  <c r="N238" i="2"/>
  <c r="L239" i="2"/>
  <c r="K239" i="2"/>
  <c r="N239" i="2"/>
  <c r="O240" i="2"/>
  <c r="K249" i="2"/>
  <c r="N249" i="2"/>
  <c r="L250" i="2"/>
  <c r="K250" i="2"/>
  <c r="N250" i="2"/>
  <c r="O251" i="2"/>
  <c r="K261" i="2"/>
  <c r="N261" i="2"/>
  <c r="L262" i="2"/>
  <c r="K262" i="2"/>
  <c r="N262" i="2"/>
  <c r="O263" i="2"/>
  <c r="K271" i="2"/>
  <c r="N271" i="2"/>
  <c r="L272" i="2"/>
  <c r="K272" i="2"/>
  <c r="N272" i="2"/>
  <c r="O273" i="2"/>
  <c r="K279" i="2"/>
  <c r="N279" i="2"/>
  <c r="L280" i="2"/>
  <c r="K280" i="2"/>
  <c r="N280" i="2"/>
  <c r="O281" i="2"/>
  <c r="K289" i="2"/>
  <c r="N289" i="2"/>
  <c r="L290" i="2"/>
  <c r="K290" i="2"/>
  <c r="N290" i="2"/>
  <c r="O291" i="2"/>
  <c r="K298" i="2"/>
  <c r="N298" i="2"/>
  <c r="L299" i="2"/>
  <c r="K299" i="2"/>
  <c r="N299" i="2"/>
  <c r="O300" i="2"/>
  <c r="K307" i="2"/>
  <c r="N307" i="2"/>
  <c r="L308" i="2"/>
  <c r="K308" i="2"/>
  <c r="N308" i="2"/>
  <c r="O309" i="2"/>
  <c r="K325" i="2"/>
  <c r="N325" i="2"/>
  <c r="L326" i="2"/>
  <c r="K326" i="2"/>
  <c r="N326" i="2"/>
  <c r="O327" i="2"/>
  <c r="K341" i="2"/>
  <c r="N341" i="2"/>
  <c r="L342" i="2"/>
  <c r="K342" i="2"/>
  <c r="N342" i="2"/>
  <c r="O343" i="2"/>
  <c r="K348" i="2"/>
  <c r="N348" i="2"/>
  <c r="L349" i="2"/>
  <c r="K349" i="2"/>
  <c r="N349" i="2"/>
  <c r="O350" i="2"/>
  <c r="K356" i="2"/>
  <c r="N356" i="2"/>
  <c r="L357" i="2"/>
  <c r="K357" i="2"/>
  <c r="N357" i="2"/>
  <c r="O358" i="2"/>
  <c r="K362" i="2"/>
  <c r="N362" i="2"/>
  <c r="L363" i="2"/>
  <c r="K363" i="2"/>
  <c r="N363" i="2"/>
  <c r="O364" i="2"/>
  <c r="K371" i="2"/>
  <c r="N371" i="2"/>
  <c r="L372" i="2"/>
  <c r="K372" i="2"/>
  <c r="N372" i="2"/>
  <c r="O373" i="2"/>
  <c r="K383" i="2"/>
  <c r="N383" i="2"/>
  <c r="L384" i="2"/>
  <c r="K384" i="2"/>
  <c r="N384" i="2"/>
  <c r="O385" i="2"/>
  <c r="K396" i="2"/>
  <c r="N396" i="2"/>
  <c r="L397" i="2"/>
  <c r="K397" i="2"/>
  <c r="N397" i="2"/>
  <c r="O398" i="2"/>
  <c r="K409" i="2"/>
  <c r="N409" i="2"/>
  <c r="L410" i="2"/>
  <c r="K410" i="2"/>
  <c r="N410" i="2"/>
  <c r="O411" i="2"/>
  <c r="K426" i="2"/>
  <c r="N426" i="2"/>
  <c r="L427" i="2"/>
  <c r="K427" i="2"/>
  <c r="N427" i="2"/>
  <c r="O428" i="2"/>
  <c r="K432" i="2"/>
  <c r="N432" i="2"/>
  <c r="L433" i="2"/>
  <c r="K433" i="2"/>
  <c r="N433" i="2"/>
  <c r="O434" i="2"/>
  <c r="K455" i="2"/>
  <c r="N455" i="2"/>
  <c r="L456" i="2"/>
  <c r="K456" i="2"/>
  <c r="N456" i="2"/>
  <c r="O457" i="2"/>
  <c r="K467" i="2"/>
  <c r="N467" i="2"/>
  <c r="O469" i="2"/>
  <c r="K473" i="2"/>
  <c r="N473" i="2"/>
  <c r="L474" i="2"/>
  <c r="K474" i="2"/>
  <c r="N474" i="2"/>
  <c r="O475" i="2"/>
  <c r="K479" i="2"/>
  <c r="N479" i="2"/>
  <c r="L480" i="2"/>
  <c r="K480" i="2"/>
  <c r="N480" i="2"/>
  <c r="O481" i="2"/>
  <c r="K485" i="2"/>
  <c r="N485" i="2"/>
  <c r="L486" i="2"/>
  <c r="K486" i="2"/>
  <c r="N486" i="2"/>
  <c r="O487" i="2"/>
  <c r="K503" i="2"/>
  <c r="N503" i="2"/>
  <c r="L504" i="2"/>
  <c r="K504" i="2"/>
  <c r="N504" i="2"/>
  <c r="O505" i="2"/>
  <c r="K520" i="2"/>
  <c r="N520" i="2"/>
  <c r="L521" i="2"/>
  <c r="K521" i="2"/>
  <c r="N521" i="2"/>
  <c r="O522" i="2"/>
  <c r="K534" i="2"/>
  <c r="N534" i="2"/>
  <c r="L535" i="2"/>
  <c r="K535" i="2"/>
  <c r="N535" i="2"/>
  <c r="O536" i="2"/>
  <c r="K540" i="2"/>
  <c r="N540" i="2"/>
  <c r="L541" i="2"/>
  <c r="K541" i="2"/>
  <c r="N541" i="2"/>
  <c r="O542" i="2"/>
  <c r="K548" i="2"/>
  <c r="N548" i="2"/>
  <c r="L549" i="2"/>
  <c r="K549" i="2"/>
  <c r="N549" i="2"/>
  <c r="O550" i="2"/>
  <c r="K559" i="2"/>
  <c r="N559" i="2"/>
  <c r="L560" i="2"/>
  <c r="K560" i="2"/>
  <c r="N560" i="2"/>
  <c r="O561" i="2"/>
  <c r="K565" i="2"/>
  <c r="N565" i="2"/>
  <c r="L566" i="2"/>
  <c r="K566" i="2"/>
  <c r="N566" i="2"/>
  <c r="O567" i="2"/>
  <c r="K596" i="2"/>
  <c r="N596" i="2"/>
  <c r="L597" i="2"/>
  <c r="K597" i="2"/>
  <c r="N597" i="2"/>
  <c r="O598" i="2"/>
  <c r="K608" i="2"/>
  <c r="N608" i="2"/>
  <c r="L609" i="2"/>
  <c r="K609" i="2"/>
  <c r="N609" i="2"/>
  <c r="O610" i="2"/>
  <c r="K619" i="2"/>
  <c r="N619" i="2"/>
  <c r="L620" i="2"/>
  <c r="K620" i="2"/>
  <c r="N620" i="2"/>
  <c r="O621" i="2"/>
  <c r="K628" i="2"/>
  <c r="N628" i="2"/>
  <c r="L629" i="2"/>
  <c r="K629" i="2"/>
  <c r="N629" i="2"/>
  <c r="O630" i="2"/>
  <c r="K637" i="2"/>
  <c r="N637" i="2"/>
  <c r="L638" i="2"/>
  <c r="K638" i="2"/>
  <c r="N638" i="2"/>
  <c r="O639" i="2"/>
  <c r="K643" i="2"/>
  <c r="N643" i="2"/>
  <c r="L644" i="2"/>
  <c r="K644" i="2"/>
  <c r="N644" i="2"/>
  <c r="O645" i="2"/>
  <c r="K46" i="2"/>
  <c r="N46" i="2"/>
  <c r="L47" i="2"/>
  <c r="K47" i="2"/>
  <c r="N47" i="2"/>
  <c r="O48" i="2"/>
  <c r="K649" i="2"/>
  <c r="N649" i="2"/>
  <c r="L650" i="2"/>
  <c r="K650" i="2"/>
  <c r="N650" i="2"/>
  <c r="O651" i="2"/>
  <c r="L63" i="2"/>
  <c r="K63" i="2"/>
  <c r="N63" i="2"/>
  <c r="O64" i="2"/>
  <c r="L71" i="2"/>
  <c r="K71" i="2"/>
  <c r="N71" i="2"/>
  <c r="L154" i="2"/>
  <c r="K154" i="2"/>
  <c r="N154" i="2"/>
  <c r="O155" i="2"/>
  <c r="L315" i="2"/>
  <c r="K315" i="2"/>
  <c r="N315" i="2"/>
  <c r="O316" i="2"/>
  <c r="L332" i="2"/>
  <c r="K332" i="2"/>
  <c r="N332" i="2"/>
  <c r="O333" i="2"/>
  <c r="L378" i="2"/>
  <c r="K378" i="2"/>
  <c r="N378" i="2"/>
  <c r="O379" i="2"/>
  <c r="L416" i="2"/>
  <c r="K416" i="2"/>
  <c r="N416" i="2"/>
  <c r="O417" i="2"/>
  <c r="L439" i="2"/>
  <c r="K439" i="2"/>
  <c r="N439" i="2"/>
  <c r="O440" i="2"/>
  <c r="L445" i="2"/>
  <c r="K445" i="2"/>
  <c r="N445" i="2"/>
  <c r="O446" i="2"/>
  <c r="L462" i="2"/>
  <c r="K462" i="2"/>
  <c r="N462" i="2"/>
  <c r="O463" i="2"/>
  <c r="L496" i="2"/>
  <c r="K496" i="2"/>
  <c r="N496" i="2"/>
  <c r="O497" i="2"/>
  <c r="L513" i="2"/>
  <c r="K513" i="2"/>
  <c r="N513" i="2"/>
  <c r="O514" i="2"/>
  <c r="L529" i="2"/>
  <c r="K529" i="2"/>
  <c r="N529" i="2"/>
  <c r="O530" i="2"/>
  <c r="L576" i="2"/>
  <c r="K576" i="2"/>
  <c r="N576" i="2"/>
  <c r="O577" i="2"/>
  <c r="L587" i="2"/>
  <c r="K587" i="2"/>
  <c r="N587" i="2"/>
  <c r="O588" i="2"/>
  <c r="L28" i="2"/>
  <c r="K28" i="2"/>
  <c r="N28" i="2"/>
  <c r="O30" i="2"/>
  <c r="F90" i="2"/>
  <c r="E444" i="27"/>
  <c r="E381" i="27"/>
  <c r="E368" i="27"/>
  <c r="E367" i="27"/>
  <c r="E336" i="27"/>
  <c r="E333" i="27"/>
  <c r="E334" i="27"/>
  <c r="E95" i="27"/>
  <c r="E4" i="27"/>
  <c r="E5" i="27"/>
  <c r="E6" i="27"/>
  <c r="E7" i="27"/>
  <c r="E9" i="27"/>
  <c r="E10" i="27"/>
  <c r="E11" i="27"/>
  <c r="E13" i="27"/>
  <c r="E14" i="27"/>
  <c r="E15" i="27"/>
  <c r="E16" i="27"/>
  <c r="E17" i="27"/>
  <c r="E18" i="27"/>
  <c r="E19" i="27"/>
  <c r="E20" i="27"/>
  <c r="E21" i="27"/>
  <c r="E22" i="27"/>
  <c r="E24" i="27"/>
  <c r="E25" i="27"/>
  <c r="E26" i="27"/>
  <c r="E27" i="27"/>
  <c r="E28" i="27"/>
  <c r="E30" i="27"/>
  <c r="E31" i="27"/>
  <c r="E32" i="27"/>
  <c r="E33" i="27"/>
  <c r="E34" i="27"/>
  <c r="E35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80" i="27"/>
  <c r="E281" i="27"/>
  <c r="E282" i="27"/>
  <c r="E283" i="27"/>
  <c r="E284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1" i="27"/>
  <c r="E332" i="27"/>
  <c r="E335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3" i="27"/>
  <c r="E354" i="27"/>
  <c r="E355" i="27"/>
  <c r="E356" i="27"/>
  <c r="E357" i="27"/>
  <c r="E358" i="27"/>
  <c r="E359" i="27"/>
  <c r="E360" i="27"/>
  <c r="E361" i="27"/>
  <c r="E362" i="27"/>
  <c r="E363" i="27"/>
  <c r="E364" i="27"/>
  <c r="E365" i="27"/>
  <c r="E366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2" i="27"/>
  <c r="E403" i="27"/>
  <c r="E404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0" i="27"/>
  <c r="E431" i="27"/>
  <c r="E432" i="27"/>
  <c r="E433" i="27"/>
  <c r="E434" i="27"/>
  <c r="E435" i="27"/>
  <c r="E436" i="27"/>
  <c r="E437" i="27"/>
  <c r="E438" i="27"/>
  <c r="E439" i="27"/>
  <c r="E440" i="27"/>
  <c r="E441" i="27"/>
  <c r="E442" i="27"/>
  <c r="E443" i="27"/>
  <c r="E445" i="27"/>
  <c r="E446" i="27"/>
  <c r="E447" i="27"/>
  <c r="E448" i="27"/>
  <c r="E449" i="27"/>
  <c r="E450" i="27"/>
  <c r="E451" i="27"/>
  <c r="E452" i="27"/>
  <c r="E453" i="27"/>
  <c r="E454" i="27"/>
  <c r="E455" i="27"/>
  <c r="E456" i="27"/>
  <c r="E457" i="27"/>
  <c r="E458" i="27"/>
  <c r="E459" i="27"/>
  <c r="E460" i="27"/>
  <c r="E461" i="27"/>
  <c r="E462" i="27"/>
  <c r="E463" i="27"/>
  <c r="E464" i="27"/>
  <c r="E465" i="27"/>
  <c r="E466" i="27"/>
  <c r="E467" i="27"/>
  <c r="E468" i="27"/>
  <c r="E469" i="27"/>
  <c r="E470" i="27"/>
  <c r="E471" i="27"/>
  <c r="E472" i="27"/>
  <c r="E473" i="27"/>
  <c r="E474" i="27"/>
  <c r="E475" i="27"/>
  <c r="E476" i="27"/>
  <c r="E477" i="27"/>
  <c r="E478" i="27"/>
  <c r="E479" i="27"/>
  <c r="E480" i="27"/>
  <c r="E481" i="27"/>
  <c r="E482" i="27"/>
  <c r="E483" i="27"/>
  <c r="E484" i="27"/>
  <c r="E485" i="27"/>
  <c r="E486" i="27"/>
  <c r="E487" i="27"/>
  <c r="E488" i="27"/>
  <c r="E489" i="27"/>
  <c r="E490" i="27"/>
  <c r="E491" i="27"/>
  <c r="E492" i="27"/>
  <c r="E493" i="27"/>
  <c r="E494" i="27"/>
  <c r="E495" i="27"/>
  <c r="E496" i="27"/>
  <c r="E497" i="27"/>
  <c r="E498" i="27"/>
  <c r="E499" i="27"/>
  <c r="E500" i="27"/>
  <c r="E501" i="27"/>
  <c r="E502" i="27"/>
  <c r="E503" i="27"/>
  <c r="E504" i="27"/>
  <c r="E505" i="27"/>
  <c r="E506" i="27"/>
  <c r="E507" i="27"/>
  <c r="E508" i="27"/>
  <c r="E509" i="27"/>
  <c r="E510" i="27"/>
  <c r="E511" i="27"/>
  <c r="E512" i="27"/>
  <c r="E513" i="27"/>
  <c r="E514" i="27"/>
  <c r="E515" i="27"/>
  <c r="E516" i="27"/>
  <c r="E517" i="27"/>
  <c r="E518" i="27"/>
  <c r="E519" i="27"/>
  <c r="E520" i="27"/>
  <c r="E521" i="27"/>
  <c r="E522" i="27"/>
  <c r="E523" i="27"/>
  <c r="E524" i="27"/>
  <c r="E525" i="27"/>
  <c r="E526" i="27"/>
  <c r="E527" i="27"/>
  <c r="E528" i="27"/>
  <c r="E529" i="27"/>
  <c r="E530" i="27"/>
  <c r="E531" i="27"/>
  <c r="E532" i="27"/>
  <c r="E533" i="27"/>
  <c r="E534" i="27"/>
  <c r="E535" i="27"/>
  <c r="E536" i="27"/>
  <c r="E537" i="27"/>
  <c r="E539" i="27"/>
  <c r="E540" i="27"/>
  <c r="E541" i="27"/>
  <c r="E542" i="27"/>
  <c r="E543" i="27"/>
  <c r="E544" i="27"/>
  <c r="E546" i="27"/>
  <c r="E547" i="27"/>
  <c r="E548" i="27"/>
  <c r="E549" i="27"/>
  <c r="E550" i="27"/>
  <c r="E551" i="27"/>
  <c r="E552" i="27"/>
  <c r="E553" i="27"/>
  <c r="E554" i="27"/>
  <c r="E555" i="27"/>
  <c r="E556" i="27"/>
  <c r="E557" i="27"/>
  <c r="E558" i="27"/>
  <c r="E559" i="27"/>
  <c r="E560" i="27"/>
  <c r="E561" i="27"/>
  <c r="E562" i="27"/>
  <c r="E563" i="27"/>
  <c r="E564" i="27"/>
  <c r="E565" i="27"/>
  <c r="E566" i="27"/>
  <c r="E567" i="27"/>
  <c r="E568" i="27"/>
  <c r="E569" i="27"/>
  <c r="E570" i="27"/>
  <c r="E571" i="27"/>
  <c r="E572" i="27"/>
  <c r="E573" i="27"/>
  <c r="E574" i="27"/>
  <c r="E575" i="27"/>
  <c r="E576" i="27"/>
  <c r="E577" i="27"/>
  <c r="E578" i="27"/>
  <c r="E579" i="27"/>
  <c r="E580" i="27"/>
  <c r="E581" i="27"/>
  <c r="E582" i="27"/>
  <c r="E583" i="27"/>
  <c r="E584" i="27"/>
  <c r="E585" i="27"/>
  <c r="E586" i="27"/>
  <c r="E587" i="27"/>
  <c r="E588" i="27"/>
  <c r="E589" i="27"/>
  <c r="E590" i="27"/>
  <c r="E591" i="27"/>
  <c r="E592" i="27"/>
  <c r="E593" i="27"/>
  <c r="E594" i="27"/>
  <c r="E595" i="27"/>
  <c r="E596" i="27"/>
  <c r="E597" i="27"/>
  <c r="E598" i="27"/>
  <c r="E599" i="27"/>
  <c r="E600" i="27"/>
  <c r="E601" i="27"/>
  <c r="E602" i="27"/>
  <c r="E603" i="27"/>
  <c r="E604" i="27"/>
  <c r="E606" i="27"/>
  <c r="E607" i="27"/>
  <c r="E608" i="27"/>
  <c r="E609" i="27"/>
  <c r="E610" i="27"/>
  <c r="E611" i="27"/>
  <c r="E612" i="27"/>
  <c r="E613" i="27"/>
  <c r="E614" i="27"/>
  <c r="E615" i="27"/>
  <c r="E616" i="27"/>
  <c r="E618" i="27"/>
  <c r="K656" i="2"/>
  <c r="K618" i="2"/>
  <c r="K658" i="2"/>
  <c r="K665" i="2"/>
  <c r="K648" i="2"/>
  <c r="K668" i="2"/>
  <c r="K667" i="2"/>
  <c r="N662" i="2"/>
  <c r="N663" i="2"/>
  <c r="N664" i="2"/>
  <c r="K664" i="2"/>
  <c r="N665" i="2"/>
  <c r="K666" i="2"/>
  <c r="N666" i="2"/>
  <c r="N667" i="2"/>
  <c r="L668" i="2"/>
  <c r="N668" i="2"/>
  <c r="O669" i="2"/>
  <c r="N648" i="2"/>
  <c r="N517" i="2"/>
  <c r="N518" i="2"/>
  <c r="N519" i="2"/>
  <c r="N618" i="2"/>
  <c r="N654" i="2"/>
  <c r="N655" i="2"/>
  <c r="L67" i="29"/>
  <c r="L76" i="29"/>
  <c r="L89" i="29"/>
  <c r="L96" i="29"/>
  <c r="L6" i="29"/>
  <c r="I106" i="29"/>
  <c r="L106" i="29"/>
  <c r="I116" i="29"/>
  <c r="L116" i="29"/>
  <c r="I39" i="29"/>
  <c r="L39" i="29"/>
  <c r="I16" i="29"/>
  <c r="L16" i="29"/>
  <c r="I26" i="29"/>
  <c r="L26" i="29"/>
  <c r="I48" i="29"/>
  <c r="L48" i="29"/>
  <c r="I57" i="29"/>
  <c r="L57" i="29"/>
  <c r="D34" i="29"/>
  <c r="N653" i="2"/>
  <c r="N656" i="2"/>
  <c r="K657" i="2"/>
  <c r="N657" i="2"/>
  <c r="N658" i="2"/>
  <c r="L659" i="2"/>
  <c r="K659" i="2"/>
  <c r="N659" i="2"/>
  <c r="O660" i="2"/>
  <c r="K6" i="2"/>
  <c r="M2" i="2"/>
  <c r="N2" i="2"/>
  <c r="M3" i="2"/>
  <c r="N3" i="2"/>
  <c r="M4" i="2"/>
  <c r="N4" i="2"/>
  <c r="N5" i="2"/>
  <c r="N6" i="2"/>
  <c r="K7" i="2"/>
  <c r="N7" i="2"/>
  <c r="K16" i="2"/>
  <c r="M12" i="2"/>
  <c r="N12" i="2"/>
  <c r="M13" i="2"/>
  <c r="N13" i="2"/>
  <c r="M14" i="2"/>
  <c r="N14" i="2"/>
  <c r="M15" i="2"/>
  <c r="N15" i="2"/>
  <c r="N16" i="2"/>
  <c r="K17" i="2"/>
  <c r="N17" i="2"/>
  <c r="M33" i="2"/>
  <c r="N33" i="2"/>
  <c r="M50" i="2"/>
  <c r="N50" i="2"/>
  <c r="M51" i="2"/>
  <c r="N51" i="2"/>
  <c r="M52" i="2"/>
  <c r="N52" i="2"/>
  <c r="M53" i="2"/>
  <c r="N53" i="2"/>
  <c r="N55" i="2"/>
  <c r="N54" i="2"/>
  <c r="N60" i="2"/>
  <c r="K61" i="2"/>
  <c r="N61" i="2"/>
  <c r="N62" i="2"/>
  <c r="K67" i="2"/>
  <c r="N67" i="2"/>
  <c r="K75" i="2"/>
  <c r="N75" i="2"/>
  <c r="K84" i="2"/>
  <c r="N80" i="2"/>
  <c r="N81" i="2"/>
  <c r="N82" i="2"/>
  <c r="N83" i="2"/>
  <c r="N84" i="2"/>
  <c r="K85" i="2"/>
  <c r="N85" i="2"/>
  <c r="N90" i="2"/>
  <c r="N91" i="2"/>
  <c r="K92" i="2"/>
  <c r="N92" i="2"/>
  <c r="K100" i="2"/>
  <c r="N97" i="2"/>
  <c r="N98" i="2"/>
  <c r="N99" i="2"/>
  <c r="N100" i="2"/>
  <c r="K101" i="2"/>
  <c r="N101" i="2"/>
  <c r="N499" i="2"/>
  <c r="N500" i="2"/>
  <c r="N501" i="2"/>
  <c r="K502" i="2"/>
  <c r="N502" i="2"/>
  <c r="N40" i="2"/>
  <c r="N41" i="2"/>
  <c r="N43" i="2"/>
  <c r="K45" i="2"/>
  <c r="N45" i="2"/>
  <c r="N106" i="2"/>
  <c r="N107" i="2"/>
  <c r="N108" i="2"/>
  <c r="N109" i="2"/>
  <c r="N110" i="2"/>
  <c r="N111" i="2"/>
  <c r="N112" i="2"/>
  <c r="K112" i="2"/>
  <c r="K113" i="2"/>
  <c r="N113" i="2"/>
  <c r="N186" i="2"/>
  <c r="N187" i="2"/>
  <c r="K188" i="2"/>
  <c r="N188" i="2"/>
  <c r="N118" i="2"/>
  <c r="N119" i="2"/>
  <c r="K119" i="2"/>
  <c r="N142" i="2"/>
  <c r="N143" i="2"/>
  <c r="N144" i="2"/>
  <c r="N145" i="2"/>
  <c r="K145" i="2"/>
  <c r="K146" i="2"/>
  <c r="N146" i="2"/>
  <c r="N157" i="2"/>
  <c r="N158" i="2"/>
  <c r="N159" i="2"/>
  <c r="N160" i="2"/>
  <c r="N161" i="2"/>
  <c r="N162" i="2"/>
  <c r="N163" i="2"/>
  <c r="K163" i="2"/>
  <c r="N213" i="2"/>
  <c r="N214" i="2"/>
  <c r="N215" i="2"/>
  <c r="N216" i="2"/>
  <c r="N217" i="2"/>
  <c r="K217" i="2"/>
  <c r="N483" i="2"/>
  <c r="K484" i="2"/>
  <c r="N484" i="2"/>
  <c r="N232" i="2"/>
  <c r="N233" i="2"/>
  <c r="N234" i="2"/>
  <c r="N235" i="2"/>
  <c r="N236" i="2"/>
  <c r="K236" i="2"/>
  <c r="N169" i="2"/>
  <c r="N170" i="2"/>
  <c r="N171" i="2"/>
  <c r="N172" i="2"/>
  <c r="N173" i="2"/>
  <c r="K174" i="2"/>
  <c r="N174" i="2"/>
  <c r="N242" i="2"/>
  <c r="N243" i="2"/>
  <c r="N244" i="2"/>
  <c r="N245" i="2"/>
  <c r="N246" i="2"/>
  <c r="N247" i="2"/>
  <c r="K247" i="2"/>
  <c r="N265" i="2"/>
  <c r="N266" i="2"/>
  <c r="N267" i="2"/>
  <c r="N268" i="2"/>
  <c r="N269" i="2"/>
  <c r="K269" i="2"/>
  <c r="N275" i="2"/>
  <c r="N276" i="2"/>
  <c r="N277" i="2"/>
  <c r="K277" i="2"/>
  <c r="M223" i="2"/>
  <c r="N223" i="2"/>
  <c r="M224" i="2"/>
  <c r="N224" i="2"/>
  <c r="M225" i="2"/>
  <c r="N225" i="2"/>
  <c r="N226" i="2"/>
  <c r="K226" i="2"/>
  <c r="N283" i="2"/>
  <c r="N285" i="2"/>
  <c r="N286" i="2"/>
  <c r="N287" i="2"/>
  <c r="K287" i="2"/>
  <c r="N293" i="2"/>
  <c r="N294" i="2"/>
  <c r="N295" i="2"/>
  <c r="N296" i="2"/>
  <c r="K296" i="2"/>
  <c r="N302" i="2"/>
  <c r="N303" i="2"/>
  <c r="N304" i="2"/>
  <c r="N305" i="2"/>
  <c r="K305" i="2"/>
  <c r="N318" i="2"/>
  <c r="N319" i="2"/>
  <c r="N320" i="2"/>
  <c r="N321" i="2"/>
  <c r="N322" i="2"/>
  <c r="N323" i="2"/>
  <c r="K323" i="2"/>
  <c r="N335" i="2"/>
  <c r="N336" i="2"/>
  <c r="N337" i="2"/>
  <c r="N338" i="2"/>
  <c r="N339" i="2"/>
  <c r="K339" i="2"/>
  <c r="N387" i="2"/>
  <c r="N388" i="2"/>
  <c r="N389" i="2"/>
  <c r="N390" i="2"/>
  <c r="N391" i="2"/>
  <c r="N392" i="2"/>
  <c r="N393" i="2"/>
  <c r="N394" i="2"/>
  <c r="K394" i="2"/>
  <c r="N400" i="2"/>
  <c r="N401" i="2"/>
  <c r="N402" i="2"/>
  <c r="N403" i="2"/>
  <c r="N404" i="2"/>
  <c r="N405" i="2"/>
  <c r="N406" i="2"/>
  <c r="N407" i="2"/>
  <c r="K407" i="2"/>
  <c r="N419" i="2"/>
  <c r="N420" i="2"/>
  <c r="N421" i="2"/>
  <c r="N422" i="2"/>
  <c r="N423" i="2"/>
  <c r="N424" i="2"/>
  <c r="K424" i="2"/>
  <c r="N448" i="2"/>
  <c r="N449" i="2"/>
  <c r="N450" i="2"/>
  <c r="N451" i="2"/>
  <c r="N452" i="2"/>
  <c r="N453" i="2"/>
  <c r="K453" i="2"/>
  <c r="N590" i="2"/>
  <c r="N591" i="2"/>
  <c r="N592" i="2"/>
  <c r="N593" i="2"/>
  <c r="N594" i="2"/>
  <c r="K595" i="2"/>
  <c r="N595" i="2"/>
  <c r="N552" i="2"/>
  <c r="N553" i="2"/>
  <c r="N554" i="2"/>
  <c r="N555" i="2"/>
  <c r="N556" i="2"/>
  <c r="N557" i="2"/>
  <c r="K557" i="2"/>
  <c r="K558" i="2"/>
  <c r="N558" i="2"/>
  <c r="N516" i="2"/>
  <c r="K518" i="2"/>
  <c r="K519" i="2"/>
  <c r="N647" i="2"/>
  <c r="M253" i="2"/>
  <c r="N253" i="2"/>
  <c r="M254" i="2"/>
  <c r="N254" i="2"/>
  <c r="M255" i="2"/>
  <c r="N255" i="2"/>
  <c r="M256" i="2"/>
  <c r="N256" i="2"/>
  <c r="M257" i="2"/>
  <c r="N257" i="2"/>
  <c r="M258" i="2"/>
  <c r="N258" i="2"/>
  <c r="N259" i="2"/>
  <c r="K259" i="2"/>
  <c r="N133" i="2"/>
  <c r="N134" i="2"/>
  <c r="N135" i="2"/>
  <c r="N136" i="2"/>
  <c r="K136" i="2"/>
  <c r="K137" i="2"/>
  <c r="N137" i="2"/>
  <c r="N352" i="2"/>
  <c r="N353" i="2"/>
  <c r="N354" i="2"/>
  <c r="K354" i="2"/>
  <c r="K355" i="2"/>
  <c r="M24" i="2"/>
  <c r="N24" i="2"/>
  <c r="N25" i="2"/>
  <c r="K26" i="2"/>
  <c r="N26" i="2"/>
  <c r="K27" i="2"/>
  <c r="N27" i="2"/>
  <c r="M125" i="2"/>
  <c r="N125" i="2"/>
  <c r="N126" i="2"/>
  <c r="N127" i="2"/>
  <c r="K128" i="2"/>
  <c r="N128" i="2"/>
  <c r="N151" i="2"/>
  <c r="N153" i="2"/>
  <c r="M179" i="2"/>
  <c r="N179" i="2"/>
  <c r="N180" i="2"/>
  <c r="K181" i="2"/>
  <c r="N181" i="2"/>
  <c r="N193" i="2"/>
  <c r="N194" i="2"/>
  <c r="K195" i="2"/>
  <c r="N195" i="2"/>
  <c r="N200" i="2"/>
  <c r="N201" i="2"/>
  <c r="K201" i="2"/>
  <c r="K202" i="2"/>
  <c r="N202" i="2"/>
  <c r="N203" i="2"/>
  <c r="O205" i="2"/>
  <c r="N207" i="2"/>
  <c r="K208" i="2"/>
  <c r="N208" i="2"/>
  <c r="N311" i="2"/>
  <c r="N312" i="2"/>
  <c r="K312" i="2"/>
  <c r="K313" i="2"/>
  <c r="N313" i="2"/>
  <c r="N314" i="2"/>
  <c r="N329" i="2"/>
  <c r="N331" i="2"/>
  <c r="N345" i="2"/>
  <c r="N346" i="2"/>
  <c r="K346" i="2"/>
  <c r="N360" i="2"/>
  <c r="M366" i="2"/>
  <c r="N366" i="2"/>
  <c r="M367" i="2"/>
  <c r="N367" i="2"/>
  <c r="M368" i="2"/>
  <c r="N368" i="2"/>
  <c r="N369" i="2"/>
  <c r="K369" i="2"/>
  <c r="N375" i="2"/>
  <c r="N377" i="2"/>
  <c r="N381" i="2"/>
  <c r="M413" i="2"/>
  <c r="N413" i="2"/>
  <c r="N415" i="2"/>
  <c r="N430" i="2"/>
  <c r="M436" i="2"/>
  <c r="N436" i="2"/>
  <c r="K437" i="2"/>
  <c r="N437" i="2"/>
  <c r="K438" i="2"/>
  <c r="N438" i="2"/>
  <c r="N442" i="2"/>
  <c r="K443" i="2"/>
  <c r="N443" i="2"/>
  <c r="N444" i="2"/>
  <c r="N459" i="2"/>
  <c r="K460" i="2"/>
  <c r="N460" i="2"/>
  <c r="N461" i="2"/>
  <c r="N465" i="2"/>
  <c r="K468" i="2"/>
  <c r="N468" i="2"/>
  <c r="N471" i="2"/>
  <c r="K472" i="2"/>
  <c r="N472" i="2"/>
  <c r="N477" i="2"/>
  <c r="N489" i="2"/>
  <c r="N490" i="2"/>
  <c r="N491" i="2"/>
  <c r="N492" i="2"/>
  <c r="K492" i="2"/>
  <c r="N493" i="2"/>
  <c r="K494" i="2"/>
  <c r="N494" i="2"/>
  <c r="N495" i="2"/>
  <c r="N507" i="2"/>
  <c r="N508" i="2"/>
  <c r="N509" i="2"/>
  <c r="N510" i="2"/>
  <c r="K510" i="2"/>
  <c r="K511" i="2"/>
  <c r="N511" i="2"/>
  <c r="N512" i="2"/>
  <c r="N524" i="2"/>
  <c r="N525" i="2"/>
  <c r="N526" i="2"/>
  <c r="K526" i="2"/>
  <c r="K527" i="2"/>
  <c r="N527" i="2"/>
  <c r="N528" i="2"/>
  <c r="N532" i="2"/>
  <c r="K533" i="2"/>
  <c r="N533" i="2"/>
  <c r="N538" i="2"/>
  <c r="K539" i="2"/>
  <c r="N539" i="2"/>
  <c r="N544" i="2"/>
  <c r="N545" i="2"/>
  <c r="N546" i="2"/>
  <c r="K547" i="2"/>
  <c r="N547" i="2"/>
  <c r="N563" i="2"/>
  <c r="K564" i="2"/>
  <c r="N564" i="2"/>
  <c r="N569" i="2"/>
  <c r="N570" i="2"/>
  <c r="N571" i="2"/>
  <c r="N572" i="2"/>
  <c r="N573" i="2"/>
  <c r="K573" i="2"/>
  <c r="K574" i="2"/>
  <c r="N574" i="2"/>
  <c r="N575" i="2"/>
  <c r="K586" i="2"/>
  <c r="N579" i="2"/>
  <c r="N580" i="2"/>
  <c r="N581" i="2"/>
  <c r="N582" i="2"/>
  <c r="N583" i="2"/>
  <c r="N584" i="2"/>
  <c r="K585" i="2"/>
  <c r="N585" i="2"/>
  <c r="N586" i="2"/>
  <c r="N600" i="2"/>
  <c r="N601" i="2"/>
  <c r="N602" i="2"/>
  <c r="N604" i="2"/>
  <c r="N606" i="2"/>
  <c r="K607" i="2"/>
  <c r="N607" i="2"/>
  <c r="N612" i="2"/>
  <c r="N613" i="2"/>
  <c r="N614" i="2"/>
  <c r="N617" i="2"/>
  <c r="N623" i="2"/>
  <c r="N624" i="2"/>
  <c r="N625" i="2"/>
  <c r="K627" i="2"/>
  <c r="N626" i="2"/>
  <c r="N632" i="2"/>
  <c r="N633" i="2"/>
  <c r="N634" i="2"/>
  <c r="K634" i="2"/>
  <c r="N635" i="2"/>
  <c r="K636" i="2"/>
  <c r="N636" i="2"/>
  <c r="N641" i="2"/>
  <c r="K642" i="2"/>
  <c r="N642" i="2"/>
  <c r="K83" i="29"/>
  <c r="L83" i="29"/>
  <c r="L87" i="29"/>
  <c r="L88" i="29"/>
  <c r="K93" i="29"/>
  <c r="L93" i="29"/>
  <c r="L94" i="29"/>
  <c r="L95" i="29"/>
  <c r="L110" i="29"/>
  <c r="L111" i="29"/>
  <c r="L112" i="29"/>
  <c r="L114" i="29"/>
  <c r="I114" i="29"/>
  <c r="I115" i="29"/>
  <c r="L115" i="29"/>
  <c r="K347" i="2"/>
  <c r="J40" i="29"/>
  <c r="I37" i="29"/>
  <c r="I40" i="29"/>
  <c r="K616" i="2"/>
  <c r="K605" i="2"/>
  <c r="K583" i="2"/>
  <c r="N627" i="2"/>
  <c r="K431" i="2"/>
  <c r="K466" i="2"/>
  <c r="N466" i="2"/>
  <c r="K382" i="2"/>
  <c r="K395" i="2"/>
  <c r="L204" i="2"/>
  <c r="K204" i="2"/>
  <c r="L190" i="2"/>
  <c r="K190" i="2"/>
  <c r="G38" i="28"/>
  <c r="G27" i="28"/>
  <c r="I27" i="28"/>
  <c r="G20" i="28"/>
  <c r="G4" i="28"/>
  <c r="G5" i="28"/>
  <c r="G6" i="28"/>
  <c r="I6" i="28"/>
  <c r="G7" i="28"/>
  <c r="I7" i="28"/>
  <c r="G8" i="28"/>
  <c r="I8" i="28"/>
  <c r="G9" i="28"/>
  <c r="G10" i="28"/>
  <c r="G11" i="28"/>
  <c r="I11" i="28"/>
  <c r="G12" i="28"/>
  <c r="G13" i="28"/>
  <c r="I13" i="28"/>
  <c r="G14" i="28"/>
  <c r="G15" i="28"/>
  <c r="I15" i="28"/>
  <c r="G16" i="28"/>
  <c r="G17" i="28"/>
  <c r="G18" i="28"/>
  <c r="G19" i="28"/>
  <c r="I19" i="28"/>
  <c r="G21" i="28"/>
  <c r="G22" i="28"/>
  <c r="G23" i="28"/>
  <c r="I23" i="28"/>
  <c r="G24" i="28"/>
  <c r="I24" i="28"/>
  <c r="G25" i="28"/>
  <c r="I25" i="28"/>
  <c r="G26" i="28"/>
  <c r="I26" i="28"/>
  <c r="G28" i="28"/>
  <c r="I28" i="28"/>
  <c r="G29" i="28"/>
  <c r="I29" i="28"/>
  <c r="G30" i="28"/>
  <c r="I30" i="28"/>
  <c r="G31" i="28"/>
  <c r="G32" i="28"/>
  <c r="G33" i="28"/>
  <c r="I33" i="28"/>
  <c r="G34" i="28"/>
  <c r="I34" i="28"/>
  <c r="G35" i="28"/>
  <c r="G36" i="28"/>
  <c r="I36" i="28"/>
  <c r="G37" i="28"/>
  <c r="I37" i="28"/>
  <c r="G39" i="28"/>
  <c r="I39" i="28"/>
  <c r="G40" i="28"/>
  <c r="I40" i="28"/>
  <c r="G3" i="28"/>
  <c r="I5" i="28"/>
  <c r="I10" i="28"/>
  <c r="I12" i="28"/>
  <c r="I20" i="28"/>
  <c r="I21" i="28"/>
  <c r="I22" i="28"/>
  <c r="I38" i="28"/>
  <c r="I31" i="28"/>
  <c r="I32" i="28"/>
  <c r="I9" i="28"/>
  <c r="I18" i="28"/>
  <c r="I4" i="28"/>
  <c r="I16" i="28"/>
  <c r="I17" i="28"/>
  <c r="I35" i="28"/>
  <c r="I104" i="29"/>
  <c r="L102" i="29"/>
  <c r="I66" i="29"/>
  <c r="L20" i="29"/>
  <c r="L21" i="29"/>
  <c r="L22" i="29"/>
  <c r="L23" i="29"/>
  <c r="I24" i="29"/>
  <c r="K101" i="29"/>
  <c r="L101" i="29"/>
  <c r="K100" i="29"/>
  <c r="L100" i="29"/>
  <c r="I105" i="29"/>
  <c r="K85" i="29"/>
  <c r="L85" i="29"/>
  <c r="K84" i="29"/>
  <c r="L84" i="29"/>
  <c r="K82" i="29"/>
  <c r="L82" i="29"/>
  <c r="K81" i="29"/>
  <c r="L81" i="29"/>
  <c r="K80" i="29"/>
  <c r="L80" i="29"/>
  <c r="L24" i="29"/>
  <c r="I88" i="29"/>
  <c r="K72" i="29"/>
  <c r="L72" i="29"/>
  <c r="K71" i="29"/>
  <c r="L71" i="29"/>
  <c r="I75" i="29"/>
  <c r="K73" i="29"/>
  <c r="K64" i="29"/>
  <c r="L64" i="29"/>
  <c r="K63" i="29"/>
  <c r="L63" i="29"/>
  <c r="K62" i="29"/>
  <c r="L62" i="29"/>
  <c r="J58" i="29"/>
  <c r="I55" i="29"/>
  <c r="I58" i="29"/>
  <c r="K54" i="29"/>
  <c r="K53" i="29"/>
  <c r="L53" i="29"/>
  <c r="K52" i="29"/>
  <c r="L52" i="29"/>
  <c r="I56" i="29"/>
  <c r="L54" i="29"/>
  <c r="I3" i="28"/>
  <c r="K454" i="2"/>
  <c r="K425" i="2"/>
  <c r="K414" i="2"/>
  <c r="F284" i="30"/>
  <c r="F285" i="30"/>
  <c r="F286" i="30"/>
  <c r="K376" i="2"/>
  <c r="F117" i="30"/>
  <c r="F118" i="30"/>
  <c r="F119" i="30"/>
  <c r="F120" i="30"/>
  <c r="F121" i="30"/>
  <c r="K370" i="2"/>
  <c r="E105" i="30"/>
  <c r="F105" i="30"/>
  <c r="F102" i="30"/>
  <c r="F103" i="30"/>
  <c r="F104" i="30"/>
  <c r="F106" i="30"/>
  <c r="F107" i="30"/>
  <c r="F108" i="30"/>
  <c r="F109" i="30"/>
  <c r="F110" i="30"/>
  <c r="F111" i="30"/>
  <c r="K361" i="2"/>
  <c r="N361" i="2"/>
  <c r="K340" i="2"/>
  <c r="K330" i="2"/>
  <c r="K324" i="2"/>
  <c r="K306" i="2"/>
  <c r="K297" i="2"/>
  <c r="K288" i="2"/>
  <c r="K278" i="2"/>
  <c r="K270" i="2"/>
  <c r="K260" i="2"/>
  <c r="K248" i="2"/>
  <c r="K237" i="2"/>
  <c r="K227" i="2"/>
  <c r="K218" i="2"/>
  <c r="K164" i="2"/>
  <c r="K152" i="2"/>
  <c r="K120" i="2"/>
  <c r="K55" i="2"/>
  <c r="K34" i="2"/>
  <c r="K478" i="2"/>
  <c r="N478" i="2"/>
  <c r="K408" i="2"/>
  <c r="N248" i="2"/>
  <c r="N152" i="2"/>
  <c r="N120" i="2"/>
  <c r="N431" i="2"/>
  <c r="N408" i="2"/>
  <c r="N347" i="2"/>
  <c r="N278" i="2"/>
  <c r="N237" i="2"/>
  <c r="N164" i="2"/>
  <c r="F382" i="30"/>
  <c r="F381" i="30"/>
  <c r="F380" i="30"/>
  <c r="F373" i="30"/>
  <c r="F372" i="30"/>
  <c r="F371" i="30"/>
  <c r="F370" i="30"/>
  <c r="F369" i="30"/>
  <c r="F362" i="30"/>
  <c r="F361" i="30"/>
  <c r="F360" i="30"/>
  <c r="F359" i="30"/>
  <c r="F358" i="30"/>
  <c r="F351" i="30"/>
  <c r="F350" i="30"/>
  <c r="F349" i="30"/>
  <c r="F348" i="30"/>
  <c r="F347" i="30"/>
  <c r="F346" i="30"/>
  <c r="F339" i="30"/>
  <c r="F338" i="30"/>
  <c r="F337" i="30"/>
  <c r="F336" i="30"/>
  <c r="F327" i="30"/>
  <c r="F326" i="30"/>
  <c r="F325" i="30"/>
  <c r="F317" i="30"/>
  <c r="F316" i="30"/>
  <c r="F315" i="30"/>
  <c r="F314" i="30"/>
  <c r="F313" i="30"/>
  <c r="F312" i="30"/>
  <c r="F304" i="30"/>
  <c r="F301" i="30"/>
  <c r="F300" i="30"/>
  <c r="F299" i="30"/>
  <c r="F298" i="30"/>
  <c r="F297" i="30"/>
  <c r="F296" i="30"/>
  <c r="F288" i="30"/>
  <c r="F283" i="30"/>
  <c r="F275" i="30"/>
  <c r="F273" i="30"/>
  <c r="F270" i="30"/>
  <c r="F262" i="30"/>
  <c r="F260" i="30"/>
  <c r="F259" i="30"/>
  <c r="F251" i="30"/>
  <c r="F250" i="30"/>
  <c r="F249" i="30"/>
  <c r="F248" i="30"/>
  <c r="F240" i="30"/>
  <c r="F239" i="30"/>
  <c r="F238" i="30"/>
  <c r="F237" i="30"/>
  <c r="F230" i="30"/>
  <c r="F229" i="30"/>
  <c r="F227" i="30"/>
  <c r="F220" i="30"/>
  <c r="F219" i="30"/>
  <c r="F218" i="30"/>
  <c r="F217" i="30"/>
  <c r="F209" i="30"/>
  <c r="F208" i="30"/>
  <c r="F207" i="30"/>
  <c r="F199" i="30"/>
  <c r="F198" i="30"/>
  <c r="F197" i="30"/>
  <c r="F196" i="30"/>
  <c r="F195" i="30"/>
  <c r="F194" i="30"/>
  <c r="F186" i="30"/>
  <c r="F185" i="30"/>
  <c r="F182" i="30"/>
  <c r="F174" i="30"/>
  <c r="F173" i="30"/>
  <c r="F172" i="30"/>
  <c r="F171" i="30"/>
  <c r="F170" i="30"/>
  <c r="F162" i="30"/>
  <c r="F161" i="30"/>
  <c r="F160" i="30"/>
  <c r="F152" i="30"/>
  <c r="F151" i="30"/>
  <c r="F150" i="30"/>
  <c r="F149" i="30"/>
  <c r="F148" i="30"/>
  <c r="F147" i="30"/>
  <c r="F139" i="30"/>
  <c r="F138" i="30"/>
  <c r="F137" i="30"/>
  <c r="F129" i="30"/>
  <c r="E128" i="30"/>
  <c r="F128" i="30"/>
  <c r="F127" i="30"/>
  <c r="F94" i="30"/>
  <c r="F93" i="30"/>
  <c r="F92" i="30"/>
  <c r="F91" i="30"/>
  <c r="F83" i="30"/>
  <c r="F82" i="30"/>
  <c r="F81" i="30"/>
  <c r="F73" i="30"/>
  <c r="F72" i="30"/>
  <c r="F71" i="30"/>
  <c r="F63" i="30"/>
  <c r="F62" i="30"/>
  <c r="F61" i="30"/>
  <c r="F60" i="30"/>
  <c r="F59" i="30"/>
  <c r="F58" i="30"/>
  <c r="F57" i="30"/>
  <c r="F56" i="30"/>
  <c r="F55" i="30"/>
  <c r="F46" i="30"/>
  <c r="F45" i="30"/>
  <c r="F44" i="30"/>
  <c r="F35" i="30"/>
  <c r="F34" i="30"/>
  <c r="F33" i="30"/>
  <c r="F24" i="30"/>
  <c r="F23" i="30"/>
  <c r="F13" i="30"/>
  <c r="F12" i="30"/>
  <c r="F11" i="30"/>
  <c r="F10" i="30"/>
  <c r="F9" i="30"/>
  <c r="F8" i="30"/>
  <c r="F7" i="30"/>
  <c r="F6" i="30"/>
  <c r="F318" i="30"/>
  <c r="F319" i="30"/>
  <c r="F140" i="30"/>
  <c r="F141" i="30"/>
  <c r="F241" i="30"/>
  <c r="F242" i="30"/>
  <c r="F263" i="30"/>
  <c r="F264" i="30"/>
  <c r="F384" i="30"/>
  <c r="F385" i="30"/>
  <c r="F36" i="30"/>
  <c r="F37" i="30"/>
  <c r="F84" i="30"/>
  <c r="F85" i="30"/>
  <c r="F175" i="30"/>
  <c r="F176" i="30"/>
  <c r="F200" i="30"/>
  <c r="F201" i="30"/>
  <c r="F305" i="30"/>
  <c r="F306" i="30"/>
  <c r="F48" i="30"/>
  <c r="F49" i="30"/>
  <c r="F26" i="30"/>
  <c r="F27" i="30"/>
  <c r="F276" i="30"/>
  <c r="F277" i="30"/>
  <c r="F363" i="30"/>
  <c r="F364" i="30"/>
  <c r="F74" i="30"/>
  <c r="F75" i="30"/>
  <c r="F187" i="30"/>
  <c r="F188" i="30"/>
  <c r="F252" i="30"/>
  <c r="F253" i="30"/>
  <c r="F163" i="30"/>
  <c r="F164" i="30"/>
  <c r="F340" i="30"/>
  <c r="F341" i="30"/>
  <c r="F64" i="30"/>
  <c r="F65" i="30"/>
  <c r="F221" i="30"/>
  <c r="F222" i="30"/>
  <c r="F231" i="30"/>
  <c r="F232" i="30"/>
  <c r="F352" i="30"/>
  <c r="F353" i="30"/>
  <c r="F210" i="30"/>
  <c r="F211" i="30"/>
  <c r="F328" i="30"/>
  <c r="F329" i="30"/>
  <c r="F374" i="30"/>
  <c r="F375" i="30"/>
  <c r="F14" i="30"/>
  <c r="F15" i="30"/>
  <c r="F95" i="30"/>
  <c r="F153" i="30"/>
  <c r="F154" i="30"/>
  <c r="F289" i="30"/>
  <c r="F290" i="30"/>
  <c r="F130" i="30"/>
  <c r="N297" i="2"/>
  <c r="N270" i="2"/>
  <c r="F96" i="30"/>
  <c r="N218" i="2"/>
  <c r="N355" i="2"/>
  <c r="F131" i="30"/>
  <c r="N340" i="2"/>
  <c r="N330" i="2"/>
  <c r="N376" i="2"/>
  <c r="N382" i="2"/>
  <c r="N288" i="2"/>
  <c r="N395" i="2"/>
  <c r="N454" i="2"/>
  <c r="N425" i="2"/>
  <c r="N324" i="2"/>
  <c r="N306" i="2"/>
  <c r="J44" i="25"/>
  <c r="J43" i="25"/>
  <c r="J42" i="25"/>
  <c r="J41" i="25"/>
  <c r="J40" i="25"/>
  <c r="J39" i="25"/>
  <c r="J38" i="25"/>
  <c r="J36" i="25"/>
  <c r="J35" i="25"/>
  <c r="J34" i="25"/>
  <c r="J33" i="25"/>
  <c r="J32" i="25"/>
  <c r="J31" i="25"/>
  <c r="J30" i="25"/>
  <c r="I46" i="29"/>
  <c r="L45" i="29"/>
  <c r="L31" i="29"/>
  <c r="L32" i="29"/>
  <c r="L33" i="29"/>
  <c r="L34" i="29"/>
  <c r="L35" i="29"/>
  <c r="L36" i="29"/>
  <c r="L13" i="29"/>
  <c r="I47" i="29"/>
  <c r="L44" i="29"/>
  <c r="L43" i="29"/>
  <c r="I38" i="29"/>
  <c r="L30" i="29"/>
  <c r="L37" i="29"/>
  <c r="I25" i="29"/>
  <c r="I14" i="29"/>
  <c r="I15" i="29"/>
  <c r="L12" i="29"/>
  <c r="L11" i="29"/>
  <c r="I4" i="29"/>
  <c r="I5" i="29"/>
  <c r="L3" i="29"/>
  <c r="L2" i="29"/>
  <c r="L25" i="29"/>
  <c r="L14" i="29"/>
  <c r="L15" i="29"/>
  <c r="L46" i="29"/>
  <c r="L47" i="29"/>
  <c r="L4" i="29"/>
  <c r="L5" i="29"/>
  <c r="L38" i="29"/>
  <c r="L65" i="29"/>
  <c r="L66" i="29"/>
  <c r="L55" i="29"/>
  <c r="L56" i="29"/>
  <c r="L74" i="29"/>
  <c r="L75" i="29"/>
  <c r="N227" i="2"/>
  <c r="L104" i="29"/>
  <c r="L105" i="29"/>
  <c r="N370" i="2"/>
  <c r="N414" i="2"/>
  <c r="N34" i="2"/>
  <c r="I41" i="28"/>
  <c r="N260" i="2"/>
  <c r="L58" i="29"/>
</calcChain>
</file>

<file path=xl/sharedStrings.xml><?xml version="1.0" encoding="utf-8"?>
<sst xmlns="http://schemas.openxmlformats.org/spreadsheetml/2006/main" count="2435" uniqueCount="1322">
  <si>
    <t>Producto</t>
  </si>
  <si>
    <t>Cantidad</t>
  </si>
  <si>
    <t>Precio</t>
  </si>
  <si>
    <t>Total</t>
  </si>
  <si>
    <t>Vodka Moskoskaya</t>
  </si>
  <si>
    <t>Ron Burla Negra</t>
  </si>
  <si>
    <t>Armagñac Cles de ducs V.S.O.P</t>
  </si>
  <si>
    <t>Brandy LUIS FELIPE GRAN RESERVA</t>
  </si>
  <si>
    <t>Bitter Cardamomo</t>
  </si>
  <si>
    <t>Bitter Suze Rojo</t>
  </si>
  <si>
    <t>Armagñac DARTIGALONGUE RESERVA 2000</t>
  </si>
  <si>
    <t>CALVADOS ROGER GROULT PAYS D'AUGE</t>
  </si>
  <si>
    <t>Campari</t>
  </si>
  <si>
    <t>Cogñac Paradise</t>
  </si>
  <si>
    <t>Tajin</t>
  </si>
  <si>
    <t>Havana 7</t>
  </si>
  <si>
    <t>Bitter de Apio fee brothers</t>
  </si>
  <si>
    <t>Licor carton curacao</t>
  </si>
  <si>
    <t>Bitter truth celery</t>
  </si>
  <si>
    <t>Licor de Litchi gabriel boudier 0.5</t>
  </si>
  <si>
    <t>Bitter scrapy´s fire</t>
  </si>
  <si>
    <t>Licor platano vieja licoreria</t>
  </si>
  <si>
    <t>Bitter scrapy´s apio</t>
  </si>
  <si>
    <t>Sirope monin cordial de lima</t>
  </si>
  <si>
    <t>Chartreuse verde</t>
  </si>
  <si>
    <t>Cointreau</t>
  </si>
  <si>
    <t>Bitter hellfire habanero</t>
  </si>
  <si>
    <t>Amaro montenegro</t>
  </si>
  <si>
    <t>Sorbete naranja</t>
  </si>
  <si>
    <t>Licor curaçao pierre ferrand</t>
  </si>
  <si>
    <t>Mix licores café</t>
  </si>
  <si>
    <t>Unidad</t>
  </si>
  <si>
    <t>Producciones</t>
  </si>
  <si>
    <t>Producto en botella</t>
  </si>
  <si>
    <t>Garrafas</t>
  </si>
  <si>
    <t>Devil</t>
  </si>
  <si>
    <t>Orange lovo licor</t>
  </si>
  <si>
    <t>Sirope simple</t>
  </si>
  <si>
    <t>Solucion citrica</t>
  </si>
  <si>
    <t>Mix ron</t>
  </si>
  <si>
    <t>Mix amaros</t>
  </si>
  <si>
    <t>Sirope eneldo</t>
  </si>
  <si>
    <t>Licor pandam</t>
  </si>
  <si>
    <t>Chupito shuffle</t>
  </si>
  <si>
    <t>Josephine</t>
  </si>
  <si>
    <t>Rubarbaro</t>
  </si>
  <si>
    <t>Vermouth rojo</t>
  </si>
  <si>
    <t>Disarono</t>
  </si>
  <si>
    <t>Cocktails x 1</t>
  </si>
  <si>
    <t>Orange lovo liquor</t>
  </si>
  <si>
    <t>Garrafa</t>
  </si>
  <si>
    <t>Orange bitter</t>
  </si>
  <si>
    <t>Cocktails x botella</t>
  </si>
  <si>
    <t>Botellas de 700</t>
  </si>
  <si>
    <t>Cocktails x1</t>
  </si>
  <si>
    <t>Total stock</t>
  </si>
  <si>
    <t>Licor Pandam</t>
  </si>
  <si>
    <t>Z. Lima</t>
  </si>
  <si>
    <t>Sirope Simple</t>
  </si>
  <si>
    <t>Solución citrica</t>
  </si>
  <si>
    <t>Café</t>
  </si>
  <si>
    <t>Mix champs sin alcohol</t>
  </si>
  <si>
    <t>Jupe banane (en platano)</t>
  </si>
  <si>
    <t>Precio unitario</t>
  </si>
  <si>
    <t>Total precio</t>
  </si>
  <si>
    <t>Tequila Altos blanco</t>
  </si>
  <si>
    <t>Mezcal Bruxo 4</t>
  </si>
  <si>
    <t>Mezcal Bruxo x</t>
  </si>
  <si>
    <t>Amaro Byrrh</t>
  </si>
  <si>
    <t>Brandy Carlos I amontillado</t>
  </si>
  <si>
    <t>Whisky Cardhu 12</t>
  </si>
  <si>
    <t>Licor Cherry Heering</t>
  </si>
  <si>
    <t>Whisky Chivas 18</t>
  </si>
  <si>
    <t>Whisky Chivas mizunara</t>
  </si>
  <si>
    <t>Tequila Curado cupeatra</t>
  </si>
  <si>
    <t>Mezcal Del maguey vida</t>
  </si>
  <si>
    <t>Tequila Don julio 1942</t>
  </si>
  <si>
    <t>Tequila Fortaleza blanco</t>
  </si>
  <si>
    <t>Whisky Glenlivet 15</t>
  </si>
  <si>
    <t>Whisky Highland park 12</t>
  </si>
  <si>
    <t>Cerveza Mahou</t>
  </si>
  <si>
    <t>Gin Monkey 47</t>
  </si>
  <si>
    <t>Amaro Noix</t>
  </si>
  <si>
    <t>Whisky Talisker 10</t>
  </si>
  <si>
    <t>Brandy Torres 15</t>
  </si>
  <si>
    <t>Gin Xoriguer</t>
  </si>
  <si>
    <t>Ron Zacapa 23</t>
  </si>
  <si>
    <t>Gin Beefeater 24</t>
  </si>
  <si>
    <t>Mezcal verde</t>
  </si>
  <si>
    <t>Mezcal Amores logia Cenizo</t>
  </si>
  <si>
    <t>Agua Solan</t>
  </si>
  <si>
    <t>Agua perrier</t>
  </si>
  <si>
    <t>Licor pera marie brizard</t>
  </si>
  <si>
    <t>Shuffle Along</t>
  </si>
  <si>
    <t>Cerveza Alhambra</t>
  </si>
  <si>
    <t>Lisa simpson</t>
  </si>
  <si>
    <t>Champs Elysses</t>
  </si>
  <si>
    <t>Fuck cocó</t>
  </si>
  <si>
    <t>Messie Covarrubias</t>
  </si>
  <si>
    <t>Lovo Island Ice Tea</t>
  </si>
  <si>
    <t>Lova</t>
  </si>
  <si>
    <t>Cleopatra nº2</t>
  </si>
  <si>
    <t>Mix Ron</t>
  </si>
  <si>
    <t>Citrus Soul</t>
  </si>
  <si>
    <t>Sirope Fruta Pasion</t>
  </si>
  <si>
    <t>Licor café</t>
  </si>
  <si>
    <t>Orange Lovo Liquor</t>
  </si>
  <si>
    <t>White neill Ruibarb</t>
  </si>
  <si>
    <t>Ron Botran 12</t>
  </si>
  <si>
    <t>Mix Champs Sin 2L</t>
  </si>
  <si>
    <t>Ron Barcelo</t>
  </si>
  <si>
    <t>Citrus soul</t>
  </si>
  <si>
    <t>Vodka</t>
  </si>
  <si>
    <t>Premix champs</t>
  </si>
  <si>
    <t>citrus soul</t>
  </si>
  <si>
    <t>Equivalencia</t>
  </si>
  <si>
    <t>Garrafa 2L</t>
  </si>
  <si>
    <t>cantidad</t>
  </si>
  <si>
    <t>Gin</t>
  </si>
  <si>
    <t>Licor marraschino</t>
  </si>
  <si>
    <t>Havana 3</t>
  </si>
  <si>
    <t>Tequila</t>
  </si>
  <si>
    <t>Orange lovo</t>
  </si>
  <si>
    <t>fino</t>
  </si>
  <si>
    <t>Rasalhanout</t>
  </si>
  <si>
    <t>Bananas</t>
  </si>
  <si>
    <t>Chupitos</t>
  </si>
  <si>
    <t>Highball Levitas</t>
  </si>
  <si>
    <t>Lovo</t>
  </si>
  <si>
    <t>Coupette Expreso</t>
  </si>
  <si>
    <t>Copas de Vino</t>
  </si>
  <si>
    <t>Licor cassis amerisse</t>
  </si>
  <si>
    <t>Cachaça Abelha</t>
  </si>
  <si>
    <t>Vodka Absolut</t>
  </si>
  <si>
    <t>Vino Albariño vizconde</t>
  </si>
  <si>
    <t>Tequila Altos silver</t>
  </si>
  <si>
    <t>Ron Appleton 12años</t>
  </si>
  <si>
    <t>Whisky Auchentoshan american oak (lowland)</t>
  </si>
  <si>
    <t>Ron Bacardi blanco</t>
  </si>
  <si>
    <t>Licor Bols curaçao azul</t>
  </si>
  <si>
    <t>Gin Bombay Sapphire</t>
  </si>
  <si>
    <t>Whisky Bourbon NOAH'S MILL SMALL BATCH</t>
  </si>
  <si>
    <t>Ron Brugal añejo</t>
  </si>
  <si>
    <t>Vermouth Carpano Antica formula</t>
  </si>
  <si>
    <t>Vermouth Carpano blanco</t>
  </si>
  <si>
    <t>Vermouth Carpano clasico</t>
  </si>
  <si>
    <t>Ron Clement vsop</t>
  </si>
  <si>
    <t>Cogñac Courvasier v.s.</t>
  </si>
  <si>
    <t>Licor Creme de Cacao Negro dijon</t>
  </si>
  <si>
    <t>Vermouth Cynar</t>
  </si>
  <si>
    <t>Whisky DALMORE 12 YEARS</t>
  </si>
  <si>
    <t>Vermouth Dolin blanco</t>
  </si>
  <si>
    <t>Vermouth Dolin Dry</t>
  </si>
  <si>
    <t>Pajitas Ecopopote 15cm</t>
  </si>
  <si>
    <t>Whisky Glenkinchie 12 (lowland)</t>
  </si>
  <si>
    <t>Whisky GLENROTHES SHERRY CASK</t>
  </si>
  <si>
    <t>Whisky Gold label</t>
  </si>
  <si>
    <t>Whisky Irish Teeling single malt</t>
  </si>
  <si>
    <t xml:space="preserve">Whisky LAPHROAIG P.X. CASK </t>
  </si>
  <si>
    <t>Gin Malfy rosa</t>
  </si>
  <si>
    <t>Vermouth Manccino sakura</t>
  </si>
  <si>
    <t>Vino Manzanilla la guita</t>
  </si>
  <si>
    <t>Cogñac Martel v.s.o.p.</t>
  </si>
  <si>
    <t>Sirope Monin bitter</t>
  </si>
  <si>
    <t>Whisky Nikka from the barrel</t>
  </si>
  <si>
    <t>Whisky Oban 14</t>
  </si>
  <si>
    <t>Refresco Pepsi</t>
  </si>
  <si>
    <t>Refresco Pepsi max</t>
  </si>
  <si>
    <t>Champagne Perrier jouet grand brut</t>
  </si>
  <si>
    <t>Vermouth Petroni branco</t>
  </si>
  <si>
    <t>Licor Pierre Ferrand dry curaçao</t>
  </si>
  <si>
    <t>Vino Pineau des Charentes</t>
  </si>
  <si>
    <t>Ron Plantation dark overproof</t>
  </si>
  <si>
    <t>Ron Plantation trinidad 2001</t>
  </si>
  <si>
    <t>Whisky Red label</t>
  </si>
  <si>
    <t>Tequila Reserva de la familia añejo</t>
  </si>
  <si>
    <t>Amaro Rubarbaro Nardini</t>
  </si>
  <si>
    <t>Whisky Rye Mitchers single barrel</t>
  </si>
  <si>
    <t>Refresco Schweppes ginger ale premium 12unid</t>
  </si>
  <si>
    <t>Refresco Schweppes ginger beer premium 12unid</t>
  </si>
  <si>
    <t>Refresco Schweppes limón premium</t>
  </si>
  <si>
    <t>Refresco Schweppes limon retornable</t>
  </si>
  <si>
    <t>Refresco Schweppes naranja premium</t>
  </si>
  <si>
    <t>Refresco Schweppes soda premium</t>
  </si>
  <si>
    <t>Refresco Schweppes tonica retornable</t>
  </si>
  <si>
    <t xml:space="preserve">Refresco Schweppes tonica premium </t>
  </si>
  <si>
    <t>Refresco Schweppes tonica hibiscus</t>
  </si>
  <si>
    <t>Refresco Schweppes soda</t>
  </si>
  <si>
    <t>Refresco Seven up</t>
  </si>
  <si>
    <t>Vodka Stolitchnaya elit</t>
  </si>
  <si>
    <t>Whisky Suntory yamazaki 12</t>
  </si>
  <si>
    <t>Licor Suze Blanco</t>
  </si>
  <si>
    <t>Whisky Tenesse Jack Daniels</t>
  </si>
  <si>
    <t>Vodka Tito´s</t>
  </si>
  <si>
    <t>Ron Trois rivieres blanc 1L</t>
  </si>
  <si>
    <t>Vodka wivoroba exquisite</t>
  </si>
  <si>
    <t>Ron Zacapa edicion limitada</t>
  </si>
  <si>
    <t>Ron Zacapa XO</t>
  </si>
  <si>
    <t>Garrafa 8L</t>
  </si>
  <si>
    <t>Whisky Glenmorangie The Cadboll</t>
  </si>
  <si>
    <t>Tequila 1800 cristalino</t>
  </si>
  <si>
    <t>Whisky Laphroaig 10</t>
  </si>
  <si>
    <t>Té Josephine Sin 2L</t>
  </si>
  <si>
    <t>Solucion citrica 8L</t>
  </si>
  <si>
    <t>Mix liores café 2L</t>
  </si>
  <si>
    <t>Hellfire casero 0,7L</t>
  </si>
  <si>
    <t>Sirope maraschino 0,7L</t>
  </si>
  <si>
    <t>Tequila Derechito Blanco</t>
  </si>
  <si>
    <t xml:space="preserve"> </t>
  </si>
  <si>
    <t>DJ</t>
  </si>
  <si>
    <t>BARRA CAZA</t>
  </si>
  <si>
    <t>BARRA CUEVA</t>
  </si>
  <si>
    <t>SALA</t>
  </si>
  <si>
    <t>Ron Abuelo 12</t>
  </si>
  <si>
    <t>Licor Italicus</t>
  </si>
  <si>
    <t>Champagne EPC Blanc de Blanc</t>
  </si>
  <si>
    <t>Coupette savage</t>
  </si>
  <si>
    <t>Highball Levitas mini</t>
  </si>
  <si>
    <t>Chupito alto</t>
  </si>
  <si>
    <t>Absenta Pernod (ÁLVAREZ)</t>
  </si>
  <si>
    <t>Absenta Pernod (LAFUENTE)</t>
  </si>
  <si>
    <t>Naranjas</t>
  </si>
  <si>
    <t>1kg</t>
  </si>
  <si>
    <t>Absenta Hencdricks</t>
  </si>
  <si>
    <t>Limones</t>
  </si>
  <si>
    <t>Limas</t>
  </si>
  <si>
    <t>Z. Limón</t>
  </si>
  <si>
    <t>1L</t>
  </si>
  <si>
    <t>Jengibre</t>
  </si>
  <si>
    <t>Hoja de Ostra</t>
  </si>
  <si>
    <t>50unds</t>
  </si>
  <si>
    <t>Amaro averna (ÁLVAREZ)</t>
  </si>
  <si>
    <t>Menta</t>
  </si>
  <si>
    <t>Manojo</t>
  </si>
  <si>
    <t>Azucar Blanco</t>
  </si>
  <si>
    <t>Tomate Pelado</t>
  </si>
  <si>
    <t>5kg</t>
  </si>
  <si>
    <t>Amaro Montenegro (LAFUENTE)</t>
  </si>
  <si>
    <t>Mandarina</t>
  </si>
  <si>
    <t>Aceituna Gordal</t>
  </si>
  <si>
    <t>4,5kg</t>
  </si>
  <si>
    <t>Amaro Noix (BARKONSULT)</t>
  </si>
  <si>
    <t>Melisa</t>
  </si>
  <si>
    <t>Amaro Sfumato (WKY REGAL)</t>
  </si>
  <si>
    <t>Clara de Huevo</t>
  </si>
  <si>
    <t xml:space="preserve">Miel </t>
  </si>
  <si>
    <t>Aperitivo Lillet Blanc (LAFUENTE)</t>
  </si>
  <si>
    <t>Panela</t>
  </si>
  <si>
    <t>500gr</t>
  </si>
  <si>
    <t>Aperitivo Lillet Blanc (ÁLVAREZ)</t>
  </si>
  <si>
    <t>Miso Blanco</t>
  </si>
  <si>
    <t>Aperitivo Lillet blanc (BORDINO)</t>
  </si>
  <si>
    <t>Sal</t>
  </si>
  <si>
    <t>Aperitivo Lillet Rouge (LAFUENTE)</t>
  </si>
  <si>
    <t>Aperitivo Lillet Rouge (BORDINO)</t>
  </si>
  <si>
    <t>Leche</t>
  </si>
  <si>
    <t>Leffir de mango</t>
  </si>
  <si>
    <t>500ml</t>
  </si>
  <si>
    <t>Bitter Walnut Fee Brothers (BARKONSULT)</t>
  </si>
  <si>
    <t>Bitter Peychauds</t>
  </si>
  <si>
    <t>Bitter Luxardo Bianco</t>
  </si>
  <si>
    <t>Bitter angostura (LAFUENTE)</t>
  </si>
  <si>
    <t>Habatonka</t>
  </si>
  <si>
    <t>Bitter Angostura (ÁLVAREZ)</t>
  </si>
  <si>
    <t>Ras el hanout</t>
  </si>
  <si>
    <t>Bitter Angostura (BORDINO)</t>
  </si>
  <si>
    <t>Curcuma</t>
  </si>
  <si>
    <t>Bitter Burlesque (LAFUENTE)</t>
  </si>
  <si>
    <t>Tandoori</t>
  </si>
  <si>
    <t>Té Chai</t>
  </si>
  <si>
    <t>Cardamomo</t>
  </si>
  <si>
    <t>Té Olong</t>
  </si>
  <si>
    <t>Bitter Orange Angostura (LAFUENTE)</t>
  </si>
  <si>
    <t>Bitter Orange Angostura</t>
  </si>
  <si>
    <t>Eral Grey</t>
  </si>
  <si>
    <t>Bitter scrappy's Cardamomo (LAFUENTE)</t>
  </si>
  <si>
    <t>Habanero</t>
  </si>
  <si>
    <t>Bitter Shiso Rojo (LAFUENTE)</t>
  </si>
  <si>
    <t>Lingote</t>
  </si>
  <si>
    <t>Cubo</t>
  </si>
  <si>
    <t>Brandy Fundador Triple madera (LAFUENTE)</t>
  </si>
  <si>
    <t>Brandy Fundador Doble Madera (LAFUENTE)</t>
  </si>
  <si>
    <t>Ysabel Regina</t>
  </si>
  <si>
    <t>Brandy St. Remy (BORDINO)</t>
  </si>
  <si>
    <t>Cerezas de Maraschino (ÁLVAREZ)</t>
  </si>
  <si>
    <t>Cerezas de Maraschino (LAFUENTE)</t>
  </si>
  <si>
    <t>Cava Gramona</t>
  </si>
  <si>
    <t>Champagne EPC Rose</t>
  </si>
  <si>
    <t>Champagne EPC Blanc de Noir</t>
  </si>
  <si>
    <t>Champagne Belle Epoque Blanc de Blanc</t>
  </si>
  <si>
    <t>Champagne Perrier Jouet Belle Epoque Brut</t>
  </si>
  <si>
    <t>Champagne Billecart Salmon Rose</t>
  </si>
  <si>
    <t>Champagne Laurent perrier rose (BORDINO)</t>
  </si>
  <si>
    <t>Champagne Perrier jouet blanc de blanc (BORDINO)</t>
  </si>
  <si>
    <t>Champagne Perrier jouet grand brut (BORDINO)</t>
  </si>
  <si>
    <t>Champagne Ruinart blanc de blancs (LAFUENTE)</t>
  </si>
  <si>
    <t>Cognac Remy Martin VSOP (BORDINO)</t>
  </si>
  <si>
    <t>Gin Beefeater (ÁLVAREZ)</t>
  </si>
  <si>
    <t>Gin Beefeater (BORDINO)</t>
  </si>
  <si>
    <t>Gin Botanist (BORDINO)</t>
  </si>
  <si>
    <t>Gin Brockmans</t>
  </si>
  <si>
    <t>Gin G'Vine Florasion (ÁLVAREZ)</t>
  </si>
  <si>
    <t xml:space="preserve">Gin G'Vine Nouaisson </t>
  </si>
  <si>
    <t>Gin Hendricks (BORDINO)</t>
  </si>
  <si>
    <t>Gin Hendricks (ÁLVAREZ)</t>
  </si>
  <si>
    <t>Gin Hendricks floradora (BORDINO)</t>
  </si>
  <si>
    <t>Gin Mare (ÁLVAREZ)</t>
  </si>
  <si>
    <t>Gin Mare (BORDINO)</t>
  </si>
  <si>
    <t>Gin Martin Millers (BORDINO)</t>
  </si>
  <si>
    <t>Gin Martin Millers (ÁLVAREZ)</t>
  </si>
  <si>
    <t>Gin Martin Millers (LAFUENTE)</t>
  </si>
  <si>
    <t>Gin Monkey 47 (BORDINO)</t>
  </si>
  <si>
    <t>Gin Nordes (ÁLVAREZ)</t>
  </si>
  <si>
    <t>Gin Nordes (BORDINO)</t>
  </si>
  <si>
    <t>Gin Plymouth (ÁLVAREZ)</t>
  </si>
  <si>
    <t>Gin Plymouth (BORDINO)</t>
  </si>
  <si>
    <t>Gin Red rabbit (BARKONSULT)</t>
  </si>
  <si>
    <t>Gin Red rabbit (LAFUENTE)</t>
  </si>
  <si>
    <t>Gin Roku (ÁLVAREZ)</t>
  </si>
  <si>
    <t>Gin Sipsmith (BORDINO)</t>
  </si>
  <si>
    <t>Gin Tanqueray (BORDINO)</t>
  </si>
  <si>
    <t>Gin Tanqueray 00 (BORDINO)</t>
  </si>
  <si>
    <t>Gin Tanqueray 10 (BORDINO)</t>
  </si>
  <si>
    <t>Gin Tanqueray 10 (ALVAREZ)</t>
  </si>
  <si>
    <t>Gin White neill ruibarbo 1L</t>
  </si>
  <si>
    <t>Gin Whitley Neill Membrillo</t>
  </si>
  <si>
    <t>Gin Whitley Neill Aloe &amp; Cucumber (ÁLAVAREZ)</t>
  </si>
  <si>
    <t>Gin Whitley Neill Ruibarbo y Jengibre (ÁLVAREZ)</t>
  </si>
  <si>
    <t>Licor 43 (LAFUENTE)</t>
  </si>
  <si>
    <t>Licor Amareto Disaronno (ÁLVAREZ)</t>
  </si>
  <si>
    <t>Licor Amareto Disaronno (BORDINO)</t>
  </si>
  <si>
    <t>Licor Ancho Reyes Verde</t>
  </si>
  <si>
    <t>Licor Aperol 1L (ÁLVAREZ)</t>
  </si>
  <si>
    <t>Licor Aqua di Cedro (WKY REGAL)</t>
  </si>
  <si>
    <t>Licor Baileys (BORDINO)</t>
  </si>
  <si>
    <t>Licor Bailyes (ÁLVAREZ)</t>
  </si>
  <si>
    <t>Licor Bergamota Quagglia (LAFUENTE)</t>
  </si>
  <si>
    <t>Licor Bitter Fussetti</t>
  </si>
  <si>
    <t>Licor cacao blanco Pico (LA DUELA)</t>
  </si>
  <si>
    <t>Licor cacao marie bizard (BORDINO)</t>
  </si>
  <si>
    <t>Licor cacao marie brizard (LAFUENTE)</t>
  </si>
  <si>
    <t>Licor Café Borguetti (BORDINO)</t>
  </si>
  <si>
    <t>Licor café Giffard (BORDINO)</t>
  </si>
  <si>
    <t>Licor café Merlet C2 (WKY REGAL)</t>
  </si>
  <si>
    <t>Licor Campari 1L (ÁLVAREZ)</t>
  </si>
  <si>
    <t>Licor Campari 1L (BORDINO)</t>
  </si>
  <si>
    <t>Licor Campari 70cl (BORDINO)</t>
  </si>
  <si>
    <t>Licor Cereza Monin (BARKONSULT)</t>
  </si>
  <si>
    <t>Licor Chartreuse Amarillo (ÁLVAREZ)</t>
  </si>
  <si>
    <t>Licor Chartreuse amarillo (BARKONSULT)</t>
  </si>
  <si>
    <t>Licor Chartreuse Verde (BARKONSULT)</t>
  </si>
  <si>
    <t>Licor Ciruela Choya Humeshu(Barkonsult)</t>
  </si>
  <si>
    <t>Licor Coco Cazcabel (ÁLVAREZ)</t>
  </si>
  <si>
    <t>Licor Coco giffard (LAFUENTE)</t>
  </si>
  <si>
    <t>Licor Cointreau (ÁLVAREZ)</t>
  </si>
  <si>
    <t>Licor Cointreau (BORDINO)</t>
  </si>
  <si>
    <t>Licor crema de melon cantaloup (WKY REGAL)</t>
  </si>
  <si>
    <t>Licor Crema de Pera Merlet (WKY REGAL)</t>
  </si>
  <si>
    <t>Licor de Abeto</t>
  </si>
  <si>
    <t>Licor de Banana Giffard (BORDINO)</t>
  </si>
  <si>
    <t>Licor de Bergamota Quaglia (ÁLVAREZ)</t>
  </si>
  <si>
    <t>Licor de café Borghetti (ÁLVAREZ)</t>
  </si>
  <si>
    <t>Licor de cereza (BARKONSULT)</t>
  </si>
  <si>
    <t>Licor de Chinotto Quagglia (LAFUENTE)</t>
  </si>
  <si>
    <t>Licor de coco Giffard (BORDINO)</t>
  </si>
  <si>
    <t>Licor de frambuesa Marie Brizard (LaFuente)</t>
  </si>
  <si>
    <t>Licor de fresa Marie Brizard (ÁLVAREZ)</t>
  </si>
  <si>
    <t>Licor de fresa Marie Brizard (LAFUENTE)</t>
  </si>
  <si>
    <t>Licor de Jengibre Giffard (LAFUENTE)</t>
  </si>
  <si>
    <t>Licor de Maraschino luxardo (ÁLVAREZ)</t>
  </si>
  <si>
    <t>Licor de Maraschino Luxardo (LAFUENTE)</t>
  </si>
  <si>
    <t>Licor de Pino Mugo Quagglia (LAFUENTE)</t>
  </si>
  <si>
    <t>Licor de Pino Mugo Quaglia (ALVAREZ)</t>
  </si>
  <si>
    <t>Licor de Plátano Giffard (LAFUENTE)</t>
  </si>
  <si>
    <t>Licor de Ruibarbo Giffard (LAFUENTE)</t>
  </si>
  <si>
    <t>Licor de Sandía Giffard (LAFUENTE)</t>
  </si>
  <si>
    <t>Licor de tabaco vieja licorería</t>
  </si>
  <si>
    <t>Licor de té y jengibre Ruavieja</t>
  </si>
  <si>
    <t>Licor de Violeta Giffard (BORDINO)</t>
  </si>
  <si>
    <t>Licor DOM Benedictine</t>
  </si>
  <si>
    <t>Licor Empirical Symphony 6 (ÁLVAREZ)</t>
  </si>
  <si>
    <t>Licor Fernet Branca (ÁLVAREZ)</t>
  </si>
  <si>
    <t>Licor Fernet Branca (LAFUENTE)</t>
  </si>
  <si>
    <t>Licor frambuesa marie brizard (ÁLVAREZ)</t>
  </si>
  <si>
    <t xml:space="preserve">Licor Genepi Dolin </t>
  </si>
  <si>
    <t>Licor Gentiane (BARKONSULT)</t>
  </si>
  <si>
    <t>Licor Giffard de flor de saúco</t>
  </si>
  <si>
    <t>Licor Giffard de fruta de la pasión</t>
  </si>
  <si>
    <t>Licor Giffard de Manzana (BORDINO)</t>
  </si>
  <si>
    <t>Licor Giffard de Manzana (LA FUENTE)</t>
  </si>
  <si>
    <t>Licor Giffard de maraschino</t>
  </si>
  <si>
    <t>Licor Giffard de Menthe Pastille (BORDINO)</t>
  </si>
  <si>
    <t>Licor Giffard de Piña (BORDINO)</t>
  </si>
  <si>
    <t>Licor Giffard de pomelo (BORDINO)</t>
  </si>
  <si>
    <t>Licor HUMO (IN VINO VERITAS)</t>
  </si>
  <si>
    <t>Licor Ingobernable</t>
  </si>
  <si>
    <t>Licor Lichi Giffard (LAFUENTE)</t>
  </si>
  <si>
    <t>Licor mandarina Giffard (ÁLVAREZ)</t>
  </si>
  <si>
    <t>Licor mandarina Giffard (LAFUENTE)</t>
  </si>
  <si>
    <t>Licor Maraschino Luxardo (LaFuente)</t>
  </si>
  <si>
    <t>Licor naranja Suau (laDUELA)</t>
  </si>
  <si>
    <t>Licor piña giffard (LAFUENTE)</t>
  </si>
  <si>
    <t>Licor Savoia (BARKONSULT)</t>
  </si>
  <si>
    <t>Licor Tabaco Perique</t>
  </si>
  <si>
    <t>Licor Té y Jengibre</t>
  </si>
  <si>
    <t>Licor Tía María Cold Brew</t>
  </si>
  <si>
    <t>Licor Triple sec marie brizard (ÁLVAREZ)</t>
  </si>
  <si>
    <t>Licor Triple Sec Marie Brizard (LAFUENTE)</t>
  </si>
  <si>
    <t>Licor Yuzu Choya</t>
  </si>
  <si>
    <t>Licor Yuzu Marie Brizard (LAFUENTE)</t>
  </si>
  <si>
    <t>Pimiento Dram (BARKONSULT)</t>
  </si>
  <si>
    <t>Mezcal Oxa Espadín (LADUELA)</t>
  </si>
  <si>
    <t>Mezcal 400 Conejos (ÁLVAREZ)</t>
  </si>
  <si>
    <t>Mezcal 400 Conejos (BORDINO)</t>
  </si>
  <si>
    <t>Mezcal amores Cupreata</t>
  </si>
  <si>
    <t>Mezcal amores Logia Tobala (BORDINO)</t>
  </si>
  <si>
    <t>Mezcal Union (IN VINO VERITAS)</t>
  </si>
  <si>
    <t>Pisco 1615 Quebranta 2L (ÁLVAREZ)</t>
  </si>
  <si>
    <t>Pisco 1615 2L (BORDINO)</t>
  </si>
  <si>
    <t>Pisco 1615 Quebranta 70cl (ÁLVAREZ)</t>
  </si>
  <si>
    <t>Pisco 1615 70cl (BORDINO)</t>
  </si>
  <si>
    <t>Pure Frambuesa (NICNAT)</t>
  </si>
  <si>
    <t>Pure Fruta la Pasion (NICNAT)</t>
  </si>
  <si>
    <t>Pure Mandarina (NICNAT)</t>
  </si>
  <si>
    <t>Puré Mango (NICNAT)</t>
  </si>
  <si>
    <t>Pure Plátano (NICNAT)</t>
  </si>
  <si>
    <t>Refresco Cherry Blossom Thomas Hnery (ÁLVAREZ)</t>
  </si>
  <si>
    <t>Refresco Ginger Beer Thomas Henry (ÁLVAREZ)</t>
  </si>
  <si>
    <t>Refresco Schweppes ginger ale</t>
  </si>
  <si>
    <t>Refresco Schweppes naranja retornable</t>
  </si>
  <si>
    <t>Refresco Soda de Mango (ÁLVAREZ)</t>
  </si>
  <si>
    <t>Refresco LE Piña (BORDINO)</t>
  </si>
  <si>
    <t>Refresco Soda de Melocoton  y jazmín (BORDINO)</t>
  </si>
  <si>
    <t>Refresco soda de Pomelo Rosa (BORDINO)</t>
  </si>
  <si>
    <t>Refresco Soda La mortuacienne mandarina (33cl)</t>
  </si>
  <si>
    <t>Refresco Soda Limonada de rosas Fentimans</t>
  </si>
  <si>
    <t>Refresco Tonica Albahaca y Pepino(BARKONSULT)</t>
  </si>
  <si>
    <t>Flor de Caña 18 (BORDINO)</t>
  </si>
  <si>
    <t>Ron Black Tears</t>
  </si>
  <si>
    <t>Ron Black Tears White</t>
  </si>
  <si>
    <t>Ron Brugal 1888 (ÁLVAREZ)</t>
  </si>
  <si>
    <t>Ron Brugal 1888 (BORDINO)</t>
  </si>
  <si>
    <t>Ron Brugal Añejo (LAFUENTE)</t>
  </si>
  <si>
    <t>Ron Chairmans Spiced (ÁLVAREZ)</t>
  </si>
  <si>
    <t>Ron Chairmans spiced (LAFUENTE)</t>
  </si>
  <si>
    <t>Ron Diplomático Mantuano (BORDINO)</t>
  </si>
  <si>
    <t>Ron Diplomatico Reserva Exclusiva (ÁLVAREZ)</t>
  </si>
  <si>
    <t>Ron Flor de caña 12 (ÁLVAREZ)</t>
  </si>
  <si>
    <t>Ron Flor de caña 4 (ÁLVAREZ)</t>
  </si>
  <si>
    <t>Ron Havana 3 (ÁLVAREZ)</t>
  </si>
  <si>
    <t>Ron Havana 3 (BORDINO)</t>
  </si>
  <si>
    <t>Ron Havana 7 (ÁLVAREZ)</t>
  </si>
  <si>
    <t>Ron Havana 7 (BORDINO)</t>
  </si>
  <si>
    <t>Ron Havana Seleccion de MAESTROS (BORDINO)</t>
  </si>
  <si>
    <t>Ron Kraken (ÁLVAREZ)</t>
  </si>
  <si>
    <t>Ron Kraken (LAFUENTE)</t>
  </si>
  <si>
    <t>Ron Matusalem 15 años (ÁLVAREZ)</t>
  </si>
  <si>
    <t>Ron Matusalem Insólito (BORDINO)</t>
  </si>
  <si>
    <t>Ron Rum Bar Worthy Park Overproof (IN VINO VERITAS)</t>
  </si>
  <si>
    <t>Ron Santa teresa 1796 (ÁLVAREZ)</t>
  </si>
  <si>
    <t>Ron Santa teresa 1796 (BORDINO)</t>
  </si>
  <si>
    <t>Ron Santiago de Cuba 3 carta blanca (ÁLVAREZ)</t>
  </si>
  <si>
    <t>Ron Santiago de Cuba 8 años (ÁLVAREZ)</t>
  </si>
  <si>
    <t>Ron Santísima Trinidad</t>
  </si>
  <si>
    <t>Ron Zacapa 23 (BORDINO)</t>
  </si>
  <si>
    <t>Sirope Giffard Chocolate Blanco</t>
  </si>
  <si>
    <t>Sirope Mango Picante</t>
  </si>
  <si>
    <t>Siropede Agave Giffard (BORDINO)</t>
  </si>
  <si>
    <t>Sirope de agave Monin (ÁLVAREZ)</t>
  </si>
  <si>
    <t>Sirope de ciruela (BARKONSULT)</t>
  </si>
  <si>
    <t>Sirope de pistacho (BARKONSULT)</t>
  </si>
  <si>
    <t>Sirope Monin Caramelo salado (BARKONSULT)</t>
  </si>
  <si>
    <t>Sirope de vainilla Giffard 1 litro (LAFUENTE)</t>
  </si>
  <si>
    <t>Sirope de vainilla Giffard (BORDINO)</t>
  </si>
  <si>
    <t>Sirope de Pepino Giffard (BORDINO)</t>
  </si>
  <si>
    <t>Sirope Monin fruta pasion 1L (BARKONSULT)</t>
  </si>
  <si>
    <t>Sirope Monin lichi (BARKONSULT)</t>
  </si>
  <si>
    <t>Sirope de Orgeat Monin (ÁLVAREZ)</t>
  </si>
  <si>
    <t>Sirope Monin Orgeat (BARKONSULT)</t>
  </si>
  <si>
    <t>Sirope Sanza Guayaba (BORDINO)</t>
  </si>
  <si>
    <t>Siropel Monin Agave (BARKONSULT)</t>
  </si>
  <si>
    <t>Tequila 1800 Añejo</t>
  </si>
  <si>
    <t>Tequilla 1800 Blanco</t>
  </si>
  <si>
    <t>Tequila 1800 Reposado</t>
  </si>
  <si>
    <t>Tequila Arette blanco (IN VINO VERITAS)</t>
  </si>
  <si>
    <t>Tequila Casa Dragones Blanco (IN VINO VERITAS)</t>
  </si>
  <si>
    <t>Tequila Casa dragones Joven (IN VINO VERITAS)</t>
  </si>
  <si>
    <t>Tequila Dobel diamante (ÁLVAREZ)</t>
  </si>
  <si>
    <t>Tequila Derechito Reposado</t>
  </si>
  <si>
    <t>Tequila Derechito Añejo</t>
  </si>
  <si>
    <t>Tequila Derechito Ribera Del Duero</t>
  </si>
  <si>
    <t>Tequila Don julio 1942 (BORDINO)</t>
  </si>
  <si>
    <t>Tequila Don julio blanco (BORDINO)</t>
  </si>
  <si>
    <t>Tequila Don julio reposado (BORDINO)</t>
  </si>
  <si>
    <t>Tequila Mijenta</t>
  </si>
  <si>
    <t>Vermouth Belsazar Dry</t>
  </si>
  <si>
    <t>Vermouth Carpano Clasico 1L (BORDINO)</t>
  </si>
  <si>
    <t>Vermouth Cocchi Extra Dry</t>
  </si>
  <si>
    <t>Vermouth Cocchi Rojo</t>
  </si>
  <si>
    <t>Vermouth Cocchi Rosa</t>
  </si>
  <si>
    <t>Vermouth Cinzano Dry 1L (BORDINO)</t>
  </si>
  <si>
    <t xml:space="preserve">Vermouth Cinzano 1757 Rosso </t>
  </si>
  <si>
    <t>Vermouth Noilly Prat Dry</t>
  </si>
  <si>
    <t>Vermouth La Quintinye Dry 70cl (BORDINO)</t>
  </si>
  <si>
    <t>Vermouth La Quintinye Rouge (BORDINO)</t>
  </si>
  <si>
    <t>Sake Choya</t>
  </si>
  <si>
    <t>Vino Abadía Retuerta Le Domaine (MERINO)</t>
  </si>
  <si>
    <t>Vino Oloroso Harvey's 50cl (LAFUENTE)</t>
  </si>
  <si>
    <t>Vino Cream Harvey's Bristol (LAFUENTE)</t>
  </si>
  <si>
    <t>Vino amontillado Tío Diego</t>
  </si>
  <si>
    <t>Vino Amontillado Viña A.B</t>
  </si>
  <si>
    <t>Vino Blanco The Orange Republic (BORDINO)</t>
  </si>
  <si>
    <t>Vino Blanco Maior de Mendoza sobre lías(ÁLVAREZ)</t>
  </si>
  <si>
    <t>Vino Cotes de Rose Le Domeine OTT</t>
  </si>
  <si>
    <t>Vino Fino Tío Pepe</t>
  </si>
  <si>
    <t>Vino Hispania Tinto (MERINO)</t>
  </si>
  <si>
    <t>Vino José Pariente</t>
  </si>
  <si>
    <t>Vino Cream Leona (LADUELA)</t>
  </si>
  <si>
    <t>Vino Manzanilla Papirusa (BORDINO)</t>
  </si>
  <si>
    <t>Vino Milmanda</t>
  </si>
  <si>
    <t>Vino Naia</t>
  </si>
  <si>
    <t>Vino Sierra Cantabria</t>
  </si>
  <si>
    <t>Vino Orange casa belfi</t>
  </si>
  <si>
    <t>Vino Tinta Fina</t>
  </si>
  <si>
    <t>Vino tinto Tobía</t>
  </si>
  <si>
    <t>Vodka Beluga Noble (LAFUENTE)</t>
  </si>
  <si>
    <t>Vodka Beluga noble (ÁLVAREZ)</t>
  </si>
  <si>
    <t>Vodka Beluga noble (BORDINO)</t>
  </si>
  <si>
    <t>Vodka Belvedere (BORDINO)</t>
  </si>
  <si>
    <t>Vodka Belvedere (ÁLVAREZ)</t>
  </si>
  <si>
    <t>Vodka Ciroc (ÁLVAREZ)</t>
  </si>
  <si>
    <t>Vodka Grey Goose (ÁLVAREZ)</t>
  </si>
  <si>
    <t>Vodka Grey Goose (LAFUENTE)</t>
  </si>
  <si>
    <t>Vodka Ketel One (ÁLVAREZ)</t>
  </si>
  <si>
    <t>Vodka Ketel one (BORDINO)</t>
  </si>
  <si>
    <t>Vodka whitley neill (ÁLVAREZ)</t>
  </si>
  <si>
    <t>Whisky Single Malt Mackmyra (LADUELA)</t>
  </si>
  <si>
    <t>Whisky Ardbeg 10 years Islay (ÁLVAREZ)</t>
  </si>
  <si>
    <t>Whisky Ardbeg 10 years Islay (LAFUENTE)</t>
  </si>
  <si>
    <t>Whisky Ballantines 10 (BORDINO)</t>
  </si>
  <si>
    <t>Whisky Ballantines 10 (LAFUENTE)</t>
  </si>
  <si>
    <t>Whisky Bourbon Buffalo trace (BORDINO)</t>
  </si>
  <si>
    <t>Whisky Bourbon Four Roses (BORDINO)</t>
  </si>
  <si>
    <t>Whisky Bourbon Makers Mark (BORDINO)</t>
  </si>
  <si>
    <t>Whisky Bourbon Woodford Reserve</t>
  </si>
  <si>
    <t>Whisky Bourbon Bulleit (BORDINO)</t>
  </si>
  <si>
    <t>Whisky Rye Bulleit (BORDINO)</t>
  </si>
  <si>
    <t>Whisky CAOL ILA 12 YEARS Islay (LAFUENTE)</t>
  </si>
  <si>
    <t>Whisky DYC 15 (LAFUENTE)</t>
  </si>
  <si>
    <t>Whisky Glenmorangie Nectar D'Or</t>
  </si>
  <si>
    <t>Whisky Glenrothes 12 (LAFUENTE)</t>
  </si>
  <si>
    <t>Whisky Flaming Pig (BORDINO)</t>
  </si>
  <si>
    <t>Whisky Hibiki Harmony (LAFUENTE)</t>
  </si>
  <si>
    <t>Whisky Hibiki harmony (ÁLVAREZ)</t>
  </si>
  <si>
    <t>Whisky Jack Daniels Fire (LAFUENTE)</t>
  </si>
  <si>
    <t>Whisky Jack Daniels (BORDINO)</t>
  </si>
  <si>
    <t>Whisky Jack Daniels Apple (BORDINO)</t>
  </si>
  <si>
    <t>Whisky Jack Daniels Honey (LAFUENTE)</t>
  </si>
  <si>
    <t>Whisky Jameson (LAFUENTE)</t>
  </si>
  <si>
    <t>Whisky Jameson (BORDINO)</t>
  </si>
  <si>
    <t>Whisky Johnnie Walker Blue Label Ghost &amp; Rare</t>
  </si>
  <si>
    <t>Whisky Johnnie Walker Blue Label Pittyvaich</t>
  </si>
  <si>
    <t>Whisky King George Edición Especial</t>
  </si>
  <si>
    <t>Whisky King George XXV</t>
  </si>
  <si>
    <t>Whisky Johnnie Walker Fresco/Delicado</t>
  </si>
  <si>
    <t>Whisky Johnnie Walker Intenso/Afrutado</t>
  </si>
  <si>
    <t>Whisky Johnnie Walker Intenso/Ahumado</t>
  </si>
  <si>
    <t>Whisky Johnnie Walker Intenso/Complejo</t>
  </si>
  <si>
    <t>Whisky Johnnie Walker Suave/Cítrico</t>
  </si>
  <si>
    <t>Whisky Johnnie Walker Vibrante/Especiado</t>
  </si>
  <si>
    <t>Whisky Johnnie Walker Double Black (LAFUENTE)</t>
  </si>
  <si>
    <t>Whisky Johnnie Walker Black label (BORDINO)</t>
  </si>
  <si>
    <t>Whisky Johnnie Walker Blue Label (LAFUENTE)</t>
  </si>
  <si>
    <t>Whisky Johnnie Walker Blue Label (BORDINO)</t>
  </si>
  <si>
    <t>Lagavulin 16</t>
  </si>
  <si>
    <t>Whisky Macallan 12 triple cask (LAFUENTE)</t>
  </si>
  <si>
    <t>Whisky Macallan 12 triple cask (BORDINO)</t>
  </si>
  <si>
    <t>Whisky Sack Man</t>
  </si>
  <si>
    <t>Orange lovo licor 2L</t>
  </si>
  <si>
    <t>Mix amaros 2L</t>
  </si>
  <si>
    <t>Mowgli</t>
  </si>
  <si>
    <t>Sirope simple 8L</t>
  </si>
  <si>
    <t>Festin Nordico</t>
  </si>
  <si>
    <t>Té Hibiscus 2L</t>
  </si>
  <si>
    <t>Licor Cacahuete 2L</t>
  </si>
  <si>
    <t>CITRUS SOUL</t>
  </si>
  <si>
    <t>ml/gr</t>
  </si>
  <si>
    <t>Precio coste</t>
  </si>
  <si>
    <t>Agua</t>
  </si>
  <si>
    <t>Ácido citrico</t>
  </si>
  <si>
    <t>Ácido tartarico</t>
  </si>
  <si>
    <t>Ácido malico</t>
  </si>
  <si>
    <t>Ácido ascorbico</t>
  </si>
  <si>
    <t>Azucar</t>
  </si>
  <si>
    <t>MDO</t>
  </si>
  <si>
    <t>Coste total</t>
  </si>
  <si>
    <t>Coste + IVA</t>
  </si>
  <si>
    <t>Prodecimiento</t>
  </si>
  <si>
    <t>Añadir todos los ingrediente en el robot de cocina a 35Cº, Vel 4, 5min, embotellar y etiquetar</t>
  </si>
  <si>
    <t>LICOR DE CACHUETE</t>
  </si>
  <si>
    <t>Vodka Whitlley Neill</t>
  </si>
  <si>
    <t>Cacahuete</t>
  </si>
  <si>
    <t>en la misma bolsa u otra machacar un poco el cacahuete, agregar a la bolsa al vacio con el vodka y el sirope simpre. Cocinar en la roner durante 1h a 55ºC, congelar durante 45min y filtrar en filtro de tela.</t>
  </si>
  <si>
    <t>TÉ OLONG MILKY</t>
  </si>
  <si>
    <t>Añadir el té, agua en una bolsa al vacio. Meter en la roner a 70ºC durante 30min</t>
  </si>
  <si>
    <t>LICOR TÉ CHAI</t>
  </si>
  <si>
    <t>Precio Coste</t>
  </si>
  <si>
    <t>Vodka Whitley Neill</t>
  </si>
  <si>
    <t>Envasar al vacio los ingredientes, ponerla en la roner durante 30 minutos a 70ºC, filtrar por superbag, embitellar y etiquetar</t>
  </si>
  <si>
    <t>CORDIAL TÉ EARL GREY</t>
  </si>
  <si>
    <t>Té Earl Grey</t>
  </si>
  <si>
    <t>pieles limón</t>
  </si>
  <si>
    <t>Acido citrico</t>
  </si>
  <si>
    <t>Acido tartarico</t>
  </si>
  <si>
    <t>Acido malico</t>
  </si>
  <si>
    <t>Acido ascorbico</t>
  </si>
  <si>
    <t>Añadir los ingredientes en el robot de cocina a 65Cº, Vel 2, 6min, embotellar y etiquetar</t>
  </si>
  <si>
    <t>TINTURA TÉ CHAI</t>
  </si>
  <si>
    <t>SIROPE RASELHANOUT</t>
  </si>
  <si>
    <t>Raselhanout</t>
  </si>
  <si>
    <t>Añadir los ingredientes en el robot a 60Cº, Vel 4, 5 min, embotellar y etiquetar</t>
  </si>
  <si>
    <t>LICOR PANDAM</t>
  </si>
  <si>
    <t>Pamdan</t>
  </si>
  <si>
    <t>Añadir los ingredientes en el robot a 50Cº, vel 8, 5min, embotellar y etiquetar</t>
  </si>
  <si>
    <t>MANGO LASSI</t>
  </si>
  <si>
    <t>Puré Mango</t>
  </si>
  <si>
    <t>Leche Fresca</t>
  </si>
  <si>
    <t>Keffir de Mango</t>
  </si>
  <si>
    <t xml:space="preserve">En un gastro grande añadimos todos los ingredientes, removemos bien y pasamos al robot de cocina 1min, Vel 4 </t>
  </si>
  <si>
    <t>Eneldo</t>
  </si>
  <si>
    <t>añadir los ingredientes en el robot de cocina a 60Cº, Vel 3, 5min, embotellar y etiquetar</t>
  </si>
  <si>
    <t>Azúcar</t>
  </si>
  <si>
    <t>Añadir los ingredientes en el robot a 70Cº, Vel 4, 5 min, embotellar y etiquetar</t>
  </si>
  <si>
    <t>Tintura de rasalhanout</t>
  </si>
  <si>
    <t>Alcohol 60%vol</t>
  </si>
  <si>
    <t>Añadir los ingredientes en el robot a 50Cº, Vel 3, 5min embotellar y etiquetar</t>
  </si>
  <si>
    <t>Cordial agua de tomate</t>
  </si>
  <si>
    <t>Tomates</t>
  </si>
  <si>
    <t>añadir los ingredientes en el robot a 90Cº, Vel 4, 5min, embotellar y etiquetar</t>
  </si>
  <si>
    <t>SIROPE DE MISO ROJO</t>
  </si>
  <si>
    <t>Miso rojo</t>
  </si>
  <si>
    <t>Añadir los ingredientes en el robot a 75Cº, Vel 4, 6min, embotellar y etiquetar</t>
  </si>
  <si>
    <t>ORANGE LOVO LIQUOR</t>
  </si>
  <si>
    <t>Suau</t>
  </si>
  <si>
    <t>dry curacao marie brizard</t>
  </si>
  <si>
    <t>Bitter naranja</t>
  </si>
  <si>
    <t>Añadir los ingredientes en un recipiente y mezclar homogeniamente, embotellas y etiquetar</t>
  </si>
  <si>
    <t>AIRE ESPECIADO</t>
  </si>
  <si>
    <t>Té Especiado</t>
  </si>
  <si>
    <t>Bubbles</t>
  </si>
  <si>
    <t>Colorante azul en polvo</t>
  </si>
  <si>
    <t>Añadir los ingredientes en un recipiente y mezclar homogenamente, embitella y etiquetar</t>
  </si>
  <si>
    <t>ESPUMA DE META</t>
  </si>
  <si>
    <t>Proespuma</t>
  </si>
  <si>
    <t>Añadir los ingredientes en el robot y triturar hasta conseguir un pure homogeneo, guardar y etiquetar</t>
  </si>
  <si>
    <t>SACARUM DE MANDARINA</t>
  </si>
  <si>
    <t>Cascara Mandarina</t>
  </si>
  <si>
    <t>Licor lima kafir</t>
  </si>
  <si>
    <t>Moscoskaya</t>
  </si>
  <si>
    <t>Hojas kafir</t>
  </si>
  <si>
    <t>SIROPE DE PANELA Y TANDOORI</t>
  </si>
  <si>
    <t>CORDIAL MANZANILLA</t>
  </si>
  <si>
    <t>infusion de manzanilla</t>
  </si>
  <si>
    <t xml:space="preserve">Añadir </t>
  </si>
  <si>
    <t>INFUSION DE MANZANILLA AMARGA</t>
  </si>
  <si>
    <t>Manzanilla amarga</t>
  </si>
  <si>
    <t>Azucar blanca</t>
  </si>
  <si>
    <t>Añadir el agua, manzanilla amarga y azucar a una bolsa de vacio, macerar 4h 30min a temperatura ambiente. Posteriormente triturar en robot de cocina y filtrar por superbag.</t>
  </si>
  <si>
    <t>VODKA GUISANTE</t>
  </si>
  <si>
    <t>Vodka Whitley neill</t>
  </si>
  <si>
    <t>Bainas de Guisante</t>
  </si>
  <si>
    <t>GIGER HONEY</t>
  </si>
  <si>
    <t>Miel</t>
  </si>
  <si>
    <t>Jugo de Jengibre</t>
  </si>
  <si>
    <t>Vel 4, 6min, 75ªC en termomix todo juntos</t>
  </si>
  <si>
    <t>PICKLE CORDIAL</t>
  </si>
  <si>
    <t>Agua de cebolleta</t>
  </si>
  <si>
    <t>Cebolletas</t>
  </si>
  <si>
    <t>Agua de azahar</t>
  </si>
  <si>
    <t>Agregar todos los ingredientes en la termomix, vel 4, 2min, sin temperatura. Filtrar, embotellar y fechar</t>
  </si>
  <si>
    <t>BLACK OLIVE BITTER</t>
  </si>
  <si>
    <t>Tanqueray 10</t>
  </si>
  <si>
    <t>Salmuera aceituna negra</t>
  </si>
  <si>
    <t>Angostura</t>
  </si>
  <si>
    <t>Agua de azhar</t>
  </si>
  <si>
    <t>Aciete sesamo</t>
  </si>
  <si>
    <t>GALLETAS CACAHUETE</t>
  </si>
  <si>
    <t>Residuo Cacahuete</t>
  </si>
  <si>
    <t>Harina de arroz</t>
  </si>
  <si>
    <t>Aceite de oliva</t>
  </si>
  <si>
    <t>TÉ DE HIBISCUS</t>
  </si>
  <si>
    <t>Hibiscus</t>
  </si>
  <si>
    <t>Esencia de vainilla</t>
  </si>
  <si>
    <t>Añadir el té, esencia y agua en una bolsa al vacio. Meter en la roner a 70ºC durante 30min</t>
  </si>
  <si>
    <t>MIEL JENGIBRE Y CURCUMA</t>
  </si>
  <si>
    <t>Jugo de jengibre</t>
  </si>
  <si>
    <t>MINDFUNLESS</t>
  </si>
  <si>
    <t>Miel de jengibre y curcuma</t>
  </si>
  <si>
    <t>Z. limon</t>
  </si>
  <si>
    <t>Licor de jengibre</t>
  </si>
  <si>
    <t>Whisky ardbeg</t>
  </si>
  <si>
    <t>Leche de soja</t>
  </si>
  <si>
    <t>COLD BREW HABA TONKA Y CANELA</t>
  </si>
  <si>
    <t>Cafe</t>
  </si>
  <si>
    <t>Canela</t>
  </si>
  <si>
    <t>Cacao</t>
  </si>
  <si>
    <t>Haba tonka</t>
  </si>
  <si>
    <t>TINTURA OREGANO</t>
  </si>
  <si>
    <t>Oregao</t>
  </si>
  <si>
    <t>SOLICION SALINA</t>
  </si>
  <si>
    <t>Dry curaçao Marie Brizard</t>
  </si>
  <si>
    <t>Licor Dry Curaçao Marie Brizard</t>
  </si>
  <si>
    <t>Licor Dry Curaçao Pierre Ferrand</t>
  </si>
  <si>
    <t>Botella 2L</t>
  </si>
  <si>
    <t>cocktail x 1</t>
  </si>
  <si>
    <t>Amaro di Angostura</t>
  </si>
  <si>
    <t>averna</t>
  </si>
  <si>
    <t>Sfumato</t>
  </si>
  <si>
    <t>Noix</t>
  </si>
  <si>
    <t>Jupe banane</t>
  </si>
  <si>
    <t>solucion citrica</t>
  </si>
  <si>
    <t>Licor de bergamota</t>
  </si>
  <si>
    <t>Sirope orgeat</t>
  </si>
  <si>
    <t>Mix licor café</t>
  </si>
  <si>
    <t>Borguetti</t>
  </si>
  <si>
    <t>Ojo de Dios Café</t>
  </si>
  <si>
    <t>Té Josephine</t>
  </si>
  <si>
    <t>Mix josephine sin</t>
  </si>
  <si>
    <t>Sirope marraschino</t>
  </si>
  <si>
    <t>Té josephine</t>
  </si>
  <si>
    <t>Pure fruta de la pasión</t>
  </si>
  <si>
    <t>Zumo limón</t>
  </si>
  <si>
    <t>Mix champs sin</t>
  </si>
  <si>
    <t>Sirope Eneldo</t>
  </si>
  <si>
    <t>Tanqueray 0,0</t>
  </si>
  <si>
    <t>Sirope leechy</t>
  </si>
  <si>
    <t>Solución Salina</t>
  </si>
  <si>
    <t>Tintura Algarroba</t>
  </si>
  <si>
    <t>Botellas de 500</t>
  </si>
  <si>
    <t>Licor Platano</t>
  </si>
  <si>
    <t>Licor Giffard de Litchi (BORDINO)</t>
  </si>
  <si>
    <t>Aperol</t>
  </si>
  <si>
    <t>Josephine y los 7</t>
  </si>
  <si>
    <t>Blackk Tears White</t>
  </si>
  <si>
    <t>Licor de Coco</t>
  </si>
  <si>
    <t>Licor de Fresa</t>
  </si>
  <si>
    <t>Licor de Yuu</t>
  </si>
  <si>
    <t>Licor de Piña</t>
  </si>
  <si>
    <t>Soda TH</t>
  </si>
  <si>
    <t>Licor Piña</t>
  </si>
  <si>
    <t>Botellas 2L</t>
  </si>
  <si>
    <t>Sirope Mango</t>
  </si>
  <si>
    <t>Floor de Sauco</t>
  </si>
  <si>
    <t>Agua de Cedro</t>
  </si>
  <si>
    <t>Sirope de Eneldo</t>
  </si>
  <si>
    <t>Té Hibiscus</t>
  </si>
  <si>
    <t>Licor 43</t>
  </si>
  <si>
    <t>Vermouth-Campari</t>
  </si>
  <si>
    <t>Licor Humo</t>
  </si>
  <si>
    <t>Licor de Cacahuete</t>
  </si>
  <si>
    <t>Sirope Vainilla</t>
  </si>
  <si>
    <t>Cuenco Dorado</t>
  </si>
  <si>
    <t>Cuenco Tibetano</t>
  </si>
  <si>
    <t>Highball Geneve (combinado)</t>
  </si>
  <si>
    <t>Highball Italesse (Highball RHR)</t>
  </si>
  <si>
    <t>Tumbler Nude</t>
  </si>
  <si>
    <t>Old fashioned Savage</t>
  </si>
  <si>
    <t>Copa pony Savage</t>
  </si>
  <si>
    <t>Vasos Tam Tam</t>
  </si>
  <si>
    <t>Copa Belle epoque</t>
  </si>
  <si>
    <t>Bandeja Dorada</t>
  </si>
  <si>
    <t>Cuenco Dorado mini</t>
  </si>
  <si>
    <t>Tabla Madera</t>
  </si>
  <si>
    <t>VASOS</t>
  </si>
  <si>
    <t>TOTAL</t>
  </si>
  <si>
    <t>PRECIO</t>
  </si>
  <si>
    <t>VALOR TOTAL</t>
  </si>
  <si>
    <t>Tintura algarroba 0,5L</t>
  </si>
  <si>
    <t>Mix amaros 0,5L</t>
  </si>
  <si>
    <t>Mix criollo</t>
  </si>
  <si>
    <t>Chupito bienvenida</t>
  </si>
  <si>
    <t>Recipiente nordico</t>
  </si>
  <si>
    <t>Piñas</t>
  </si>
  <si>
    <t>Old fashioned antiguo</t>
  </si>
  <si>
    <t>Cuenco Okami</t>
  </si>
  <si>
    <t>Probetas</t>
  </si>
  <si>
    <t>Pinzas</t>
  </si>
  <si>
    <t>Porn Star</t>
  </si>
  <si>
    <t>Porn Star RH</t>
  </si>
  <si>
    <t>Whitley Neil Vodka</t>
  </si>
  <si>
    <t>Licor Fruta de la Pasión</t>
  </si>
  <si>
    <t>Botella de 2L</t>
  </si>
  <si>
    <t>Naked and Famous RH</t>
  </si>
  <si>
    <t xml:space="preserve">Chartreuse Verde </t>
  </si>
  <si>
    <t>Mezcal Unión</t>
  </si>
  <si>
    <t>Cinzano rosso</t>
  </si>
  <si>
    <t>Long Island RHR</t>
  </si>
  <si>
    <t>Negroni RHR</t>
  </si>
  <si>
    <t>Black tears blanco</t>
  </si>
  <si>
    <t>Tequila Altos</t>
  </si>
  <si>
    <t>Vodka Whitley Neil</t>
  </si>
  <si>
    <t>Caperutica RHR</t>
  </si>
  <si>
    <t>Mix Caperucita</t>
  </si>
  <si>
    <t>Old Fashioned RHR</t>
  </si>
  <si>
    <t>Markers Mark</t>
  </si>
  <si>
    <t>Bulleit Bourbon</t>
  </si>
  <si>
    <t>Sirope Demarara</t>
  </si>
  <si>
    <t>Caperucita rosa</t>
  </si>
  <si>
    <t>Tequila Herradura Reposado</t>
  </si>
  <si>
    <t>Tequila Entre Manos</t>
  </si>
  <si>
    <t>Tequila Mijenta Reposado</t>
  </si>
  <si>
    <t>LITCHIS</t>
  </si>
  <si>
    <t>1KG</t>
  </si>
  <si>
    <t>Gin MG</t>
  </si>
  <si>
    <t>Mix Gin</t>
  </si>
  <si>
    <t>Mix Tequila</t>
  </si>
  <si>
    <t>Mix Whisky</t>
  </si>
  <si>
    <t>Mix Vodka</t>
  </si>
  <si>
    <t>Mix Tequila 2L</t>
  </si>
  <si>
    <t>Jupe banane 5L</t>
  </si>
  <si>
    <t>Sotol Nocheluna</t>
  </si>
  <si>
    <t>Old Fashioned</t>
  </si>
  <si>
    <t>Garrafa 5L</t>
  </si>
  <si>
    <t>Tequila Mijenta Blanco</t>
  </si>
  <si>
    <t>Refresco Soda TH</t>
  </si>
  <si>
    <t>Ron Rum Bar Gold</t>
  </si>
  <si>
    <t>Ron Brugal extra viejo</t>
  </si>
  <si>
    <t>Whisky Jack Daniels Sigle Barrel</t>
  </si>
  <si>
    <t>Mezcal Bruxo 2</t>
  </si>
  <si>
    <t>Mezcal Ojo de Dios</t>
  </si>
  <si>
    <t>Mezcal Ojo de Dios Café</t>
  </si>
  <si>
    <t>Licor Cherry Brandy Monin (BARKONSULT)</t>
  </si>
  <si>
    <t>Whisky Johnnie 18</t>
  </si>
  <si>
    <t>Gin Bulldog</t>
  </si>
  <si>
    <t>Rum Bar Silver</t>
  </si>
  <si>
    <t>Prosseco Academia Rojo</t>
  </si>
  <si>
    <t>J&amp;7</t>
  </si>
  <si>
    <t>Ron Barcelo imperial</t>
  </si>
  <si>
    <t>Raicilla La Venenosa sierra del tigre</t>
  </si>
  <si>
    <t>Tequila 7 leguas reposado</t>
  </si>
  <si>
    <t>Tequila Altos reposado</t>
  </si>
  <si>
    <t>Vino tinto LARAO (comprobar precio)</t>
  </si>
  <si>
    <t>bittre thruth oliva</t>
  </si>
  <si>
    <t>Expresso Martini 5L</t>
  </si>
  <si>
    <t xml:space="preserve">Whisky Busker </t>
  </si>
  <si>
    <t>Expresso Martini</t>
  </si>
  <si>
    <t>Licor Café</t>
  </si>
  <si>
    <t>Expresso</t>
  </si>
  <si>
    <t>Amaro montenegro (Barkonsult)</t>
  </si>
  <si>
    <t>Bitter Mandarina</t>
  </si>
  <si>
    <t>Vasos de Agua Averna Pure</t>
  </si>
  <si>
    <t>Whisky Hibiki Harmony (BORDINO)</t>
  </si>
  <si>
    <t>Tequila 7 leguas blanco</t>
  </si>
  <si>
    <t>Ron Botran 8</t>
  </si>
  <si>
    <t xml:space="preserve">Ron Botran 12 </t>
  </si>
  <si>
    <t>Licor Fernet Branca BORDINO)</t>
  </si>
  <si>
    <t>Ron Flor de Caña 18 (BORDINO)</t>
  </si>
  <si>
    <t xml:space="preserve">Licor  Frangelico </t>
  </si>
  <si>
    <t>Pisco Barsol 4L</t>
  </si>
  <si>
    <t>Ron Arehucas 12</t>
  </si>
  <si>
    <t>Ron Don Papa</t>
  </si>
  <si>
    <t>Whisky Tenesse Jack Daniels Sigle Barrel</t>
  </si>
  <si>
    <t>Gin Latin</t>
  </si>
  <si>
    <t>Gin Le Tribute</t>
  </si>
  <si>
    <t>Cerveza Heineken</t>
  </si>
  <si>
    <t>Mezcal Ojo de Dioas Hibiscus</t>
  </si>
  <si>
    <t>Patatas Chip (CAJAPE)</t>
  </si>
  <si>
    <t>Frutos Secos (CAJAPE)</t>
  </si>
  <si>
    <t>Licor Drambuie</t>
  </si>
  <si>
    <t>Ron Everum</t>
  </si>
  <si>
    <t>Whisky Monkey Shoulder</t>
  </si>
  <si>
    <t>Tequila Mijenta Gran Reserva</t>
  </si>
  <si>
    <t>Mezcal amores Espadin</t>
  </si>
  <si>
    <t>Armagñac Armin 10</t>
  </si>
  <si>
    <t>Armagñac Armin 6</t>
  </si>
  <si>
    <t>Armin blanco</t>
  </si>
  <si>
    <t>Licor café Giggard Honduras</t>
  </si>
  <si>
    <t xml:space="preserve">Licor Apricot Giffard </t>
  </si>
  <si>
    <t>Licor Ancho reyes rojo</t>
  </si>
  <si>
    <t>Licor 43 (Bordino)</t>
  </si>
  <si>
    <t>Whisky Glenfidich 12</t>
  </si>
  <si>
    <t>Licor cordy ceps</t>
  </si>
  <si>
    <t>Tequilla Herradura plata</t>
  </si>
  <si>
    <t xml:space="preserve">19 crimes </t>
  </si>
  <si>
    <t>Highball Tubo Aleman</t>
  </si>
  <si>
    <t>Highball Aleman corto</t>
  </si>
  <si>
    <t>Cuenco azul crital</t>
  </si>
  <si>
    <t>Old Fashioned chicago cueva</t>
  </si>
  <si>
    <t>Ron Arehucas 18</t>
  </si>
  <si>
    <t xml:space="preserve">Ron Arehucas blanco </t>
  </si>
  <si>
    <t>Vino PX Harveys</t>
  </si>
  <si>
    <t>Vino Porto Cruz</t>
  </si>
  <si>
    <t>Vino Verjus</t>
  </si>
  <si>
    <t>Whisky Bourbon Few</t>
  </si>
  <si>
    <t>Gin Hendricks Gran Cabaret</t>
  </si>
  <si>
    <t>Gin Kinobi</t>
  </si>
  <si>
    <t>Tequila Padre añejo</t>
  </si>
  <si>
    <t>Tequila Alacran añejo</t>
  </si>
  <si>
    <t xml:space="preserve">Expresso Martini </t>
  </si>
  <si>
    <t>Mezcal Casamigos</t>
  </si>
  <si>
    <t>Highball Tubo Aleman Mini</t>
  </si>
  <si>
    <t>Gin Hendricks Absent</t>
  </si>
  <si>
    <t>Cachaca 51</t>
  </si>
  <si>
    <t>Gin Roku (BORDINO)</t>
  </si>
  <si>
    <t>Licor Chartreuse Verde (BORDINO)</t>
  </si>
  <si>
    <t>Pure Passion Fruit (NICNAT)</t>
  </si>
  <si>
    <t>Licor Pimiento Dram (BARKONSULT)</t>
  </si>
  <si>
    <t xml:space="preserve">Licor Naranja Triple Mortal </t>
  </si>
  <si>
    <t>Licor Banana vieja licoreria</t>
  </si>
  <si>
    <t>Licor Pera Marie brizard</t>
  </si>
  <si>
    <t>Licor Naranja Suau (Bordino)</t>
  </si>
  <si>
    <t>Licor Leechy Giffard (BORDINO)</t>
  </si>
  <si>
    <t>Licor Manzana Giffard (BORDINO)</t>
  </si>
  <si>
    <t>Licor Manzana  Giffard (LA FUENTE)</t>
  </si>
  <si>
    <t xml:space="preserve">Licor Maraschino Giffard </t>
  </si>
  <si>
    <t>Licor Menthe Pastille Giffard (BORDINO)</t>
  </si>
  <si>
    <t>Licor Piña Giffard (BORDINO)</t>
  </si>
  <si>
    <t>Licor Pomelo Giffard  (BORDINO)</t>
  </si>
  <si>
    <t xml:space="preserve">Licor Flor de Sauco Sin Giffard </t>
  </si>
  <si>
    <t xml:space="preserve">Licor Ginger Sin Giffard </t>
  </si>
  <si>
    <t>Licor Passion fruit Giffard</t>
  </si>
  <si>
    <t xml:space="preserve">Licor Pomelo Sin Giffard </t>
  </si>
  <si>
    <t>Licor Humo (VINO VERITAS)</t>
  </si>
  <si>
    <t>Licor Banana Giffard (BORDINO)</t>
  </si>
  <si>
    <t>Licor Bergamota Quaglia (ÁLVAREZ)</t>
  </si>
  <si>
    <t>Licor Café Borghetti (ÁLVAREZ)</t>
  </si>
  <si>
    <t>Licor Cereza (BARKONSULT)</t>
  </si>
  <si>
    <t>Licor Chinotto Quagglia (LAFUENTE)</t>
  </si>
  <si>
    <t>Licor Coco Giffard (BORDINO)</t>
  </si>
  <si>
    <t>Licor Fambuesa Marie Brizard (LaFuente)</t>
  </si>
  <si>
    <t>Licor Fresa Marie Brizard (BORDINO)</t>
  </si>
  <si>
    <t>Licor Fresa Marie Brizard (LAFUENTE)</t>
  </si>
  <si>
    <t>Licor Jengibre Giffard (BORDINO)</t>
  </si>
  <si>
    <t>Licor Leechy gabriel boudier 0.5</t>
  </si>
  <si>
    <t>Licor Malta</t>
  </si>
  <si>
    <t>Licor Maraschino luxardo (ÁLVAREZ)</t>
  </si>
  <si>
    <t>Licor Pino Mugo Quagglia (LAFUENTE)</t>
  </si>
  <si>
    <t>Licor Plátano Giffard (LAFUENTE)</t>
  </si>
  <si>
    <t>Licor Ruibarbo Giffard (LAFUENTE)</t>
  </si>
  <si>
    <t>Licor Sandía Giffard (LAFUENTE)</t>
  </si>
  <si>
    <t>Licor tabaco vieja licorería</t>
  </si>
  <si>
    <t>Licor Té y jengibre Ruavieja</t>
  </si>
  <si>
    <t>Licor Violeta Giffard (BORDINO)</t>
  </si>
  <si>
    <t>Licor Leechy Giffard (LAFUENTE)</t>
  </si>
  <si>
    <t>Licor Mandarina Giffard (ÁLVAREZ)</t>
  </si>
  <si>
    <t>Licor Mandarina Giffard (LAFUENTE)</t>
  </si>
  <si>
    <t>Licor Piña giffard (LAFUENTE)</t>
  </si>
  <si>
    <t>Mezcal Koch Elemental</t>
  </si>
  <si>
    <t>Tequila 3 Generaciones Añejo</t>
  </si>
  <si>
    <t>Tequila 3 Generaciones Plata</t>
  </si>
  <si>
    <t>Whisky Lagavulin 16</t>
  </si>
  <si>
    <t>Vino Sake Choya</t>
  </si>
  <si>
    <t xml:space="preserve">Sirope Chocolate Blanco Giffard </t>
  </si>
  <si>
    <t>Sirope Pepino Giffard (BORDINO)</t>
  </si>
  <si>
    <t>Sirope Vainilla Giffard (LAFUENTE)</t>
  </si>
  <si>
    <t>Sirope Vainilla Giffard (BORDINO)</t>
  </si>
  <si>
    <t xml:space="preserve">Sirope Vainilla Marie Bizard </t>
  </si>
  <si>
    <t>Sirope Agave Monin (ÁLVAREZ)</t>
  </si>
  <si>
    <t>Sirope Agave Monin (BARKONSULT)</t>
  </si>
  <si>
    <t xml:space="preserve">Sirope Apricot Monin </t>
  </si>
  <si>
    <t>Sirope bitter Monin</t>
  </si>
  <si>
    <t xml:space="preserve">Sirope Mango Picante  Monin </t>
  </si>
  <si>
    <t>Sirope Orgeat Monin  (ÁLVAREZ)</t>
  </si>
  <si>
    <t>Sirope Orgeat Monin (BARKONSULT)</t>
  </si>
  <si>
    <t>Sirope Passion Fruit Monin (BARKONSULT)</t>
  </si>
  <si>
    <t>Sirope Pistacho Monin  (BARKONSULT)</t>
  </si>
  <si>
    <t>Sirope Plum Monin (BARKONSULT)</t>
  </si>
  <si>
    <t>Refesco LE Ginger beer</t>
  </si>
  <si>
    <t>Vermouth Cinzano 1757 Dry 1L (BORDINO)</t>
  </si>
  <si>
    <t>Sirope Falernum</t>
  </si>
  <si>
    <t>Bitter fee brpthers bitter lemon</t>
  </si>
  <si>
    <t>Highball Combinado jerte</t>
  </si>
  <si>
    <t>Highball Savage</t>
  </si>
  <si>
    <t>Nordico Sin</t>
  </si>
  <si>
    <t>Licor Flor Sauco Sin</t>
  </si>
  <si>
    <t>Licor Chambord</t>
  </si>
  <si>
    <t>Vino amontillado Tio Diego</t>
  </si>
  <si>
    <t>Whisky DYC 8 (bordino</t>
  </si>
  <si>
    <t>Whisky DYC 15 (Bordino)</t>
  </si>
  <si>
    <t>Gin Liilou</t>
  </si>
  <si>
    <t>Gin Martin Millers Westbourne</t>
  </si>
  <si>
    <t>Vodka VH Rives</t>
  </si>
  <si>
    <t>Prosseco Cinzano Spritz</t>
  </si>
  <si>
    <t>Tequila Padrecito</t>
  </si>
  <si>
    <t>Cerveza Heineken 0,0</t>
  </si>
  <si>
    <t xml:space="preserve">Refresco Soda Piña TC </t>
  </si>
  <si>
    <t xml:space="preserve">VASOS MOSCOW MULE </t>
  </si>
  <si>
    <t xml:space="preserve">ron havana club origen </t>
  </si>
  <si>
    <t>Licor Flor de sauco marie blizard</t>
  </si>
  <si>
    <t>sirope alga nori</t>
  </si>
  <si>
    <t>bacardi 8</t>
  </si>
  <si>
    <t>Martini Bitter</t>
  </si>
  <si>
    <t>Vino Manzanilla leona</t>
  </si>
  <si>
    <t>Licor Voltaje</t>
  </si>
  <si>
    <t>Brandy Fundador 12 PX sherry cask</t>
  </si>
  <si>
    <t>Tequila 8</t>
  </si>
  <si>
    <t>tequila patron silver</t>
  </si>
  <si>
    <t>gin whitley neil london dry</t>
  </si>
  <si>
    <t>sirope pumpkin spice monin</t>
  </si>
  <si>
    <t>sirope higo</t>
  </si>
  <si>
    <t>Sirope Mango Polot</t>
  </si>
  <si>
    <t>Sirope leechy  giffard (cambiar precio)</t>
  </si>
  <si>
    <t>Sirope Caramelo Salado giffard (mirar precios)</t>
  </si>
  <si>
    <t>Sirope Coco polot</t>
  </si>
  <si>
    <t>sirope fresa giffard</t>
  </si>
  <si>
    <t>sirope manzana verde giffard</t>
  </si>
  <si>
    <t>sirope pistacho giffard</t>
  </si>
  <si>
    <t>sirope hibiscus</t>
  </si>
  <si>
    <t>Gin Plymouth sloe</t>
  </si>
  <si>
    <t>Vermouth Martini Rosso (mirar precio)</t>
  </si>
  <si>
    <t>tequila espolon</t>
  </si>
  <si>
    <t>Devil 4L</t>
  </si>
  <si>
    <t>Mix ron 4L</t>
  </si>
  <si>
    <t>Mix Gin 4L</t>
  </si>
  <si>
    <t>Mix Whisky 4L</t>
  </si>
  <si>
    <t>Mix Vodka 4L</t>
  </si>
  <si>
    <t>Josephine y los 7 (7pipetas)</t>
  </si>
  <si>
    <t>Dewards White label</t>
  </si>
  <si>
    <t>Licor Grand Marnier</t>
  </si>
  <si>
    <t>Licor Higo Gabriel Bordier</t>
  </si>
  <si>
    <t>Ron Bumbu</t>
  </si>
  <si>
    <t>Garrafa 4L</t>
  </si>
  <si>
    <t>Samurai</t>
  </si>
  <si>
    <t>Ron Brugal Extra Viejo</t>
  </si>
  <si>
    <t>Ron Abuelo Añejo</t>
  </si>
  <si>
    <t>Leona</t>
  </si>
  <si>
    <t>Licor Mango Picante</t>
  </si>
  <si>
    <t>Licor Melon Cantalupe</t>
  </si>
  <si>
    <t>Bubi</t>
  </si>
  <si>
    <t>Licor Lemon Grass</t>
  </si>
  <si>
    <t>Licor Pico</t>
  </si>
  <si>
    <t>Manabi</t>
  </si>
  <si>
    <t>Bumbu</t>
  </si>
  <si>
    <t>Worthy Park</t>
  </si>
  <si>
    <t>Z Piña</t>
  </si>
  <si>
    <t>Z tomate</t>
  </si>
  <si>
    <t>L Cacahuete</t>
  </si>
  <si>
    <t>S Coco</t>
  </si>
  <si>
    <t>Botella 5L</t>
  </si>
  <si>
    <t>Licor Salmon&amp;Eneldo</t>
  </si>
  <si>
    <t>Licor Salmon &amp; Eneldo</t>
  </si>
  <si>
    <t>Licor Salmon &amp; Elendo 5L</t>
  </si>
  <si>
    <t>Samurai 5L</t>
  </si>
  <si>
    <t>Mix Criollo</t>
  </si>
  <si>
    <t>Mix Amaros</t>
  </si>
  <si>
    <t>Z. Mandarina</t>
  </si>
  <si>
    <t>Sirope Tamarindo</t>
  </si>
  <si>
    <t>Maori</t>
  </si>
  <si>
    <t>Gin Té Matcha</t>
  </si>
  <si>
    <t>Licor Lima Kaffir</t>
  </si>
  <si>
    <t>Sirope de Higuera</t>
  </si>
  <si>
    <t>Maori 5L</t>
  </si>
  <si>
    <t>Botella</t>
  </si>
  <si>
    <t>Garrfa 2L</t>
  </si>
  <si>
    <t>Café 2L</t>
  </si>
  <si>
    <t xml:space="preserve">café </t>
  </si>
  <si>
    <t>Masai</t>
  </si>
  <si>
    <t>Vermouth Calabaza</t>
  </si>
  <si>
    <t>Sirope Calabaza</t>
  </si>
  <si>
    <t>Masai 5L</t>
  </si>
  <si>
    <t>Indio Navajo</t>
  </si>
  <si>
    <t>Bourbon a la Mantequilla</t>
  </si>
  <si>
    <t>Licor Tabaco</t>
  </si>
  <si>
    <t>Licor Cacao</t>
  </si>
  <si>
    <t>Licor Maiz Morado</t>
  </si>
  <si>
    <t>Sami</t>
  </si>
  <si>
    <t>Pure Mora</t>
  </si>
  <si>
    <t>Licor Café Cabra</t>
  </si>
  <si>
    <t>Licor de Mora</t>
  </si>
  <si>
    <t>Sami 5L</t>
  </si>
  <si>
    <t>Serpiente</t>
  </si>
  <si>
    <t>Cordial Pera</t>
  </si>
  <si>
    <t>Sirope Peras al Horno</t>
  </si>
  <si>
    <t>King Sawa</t>
  </si>
  <si>
    <t>Serpiente 5L</t>
  </si>
  <si>
    <t>Tortuga</t>
  </si>
  <si>
    <t>Tortuga 5L</t>
  </si>
  <si>
    <t>Tequila Shiso</t>
  </si>
  <si>
    <t>Reno</t>
  </si>
  <si>
    <t>Everum</t>
  </si>
  <si>
    <t>Cordial Fresas</t>
  </si>
  <si>
    <t>Pinot Charentes</t>
  </si>
  <si>
    <t>Fino</t>
  </si>
  <si>
    <t>Caballo</t>
  </si>
  <si>
    <t>Licor Herbal</t>
  </si>
  <si>
    <t>Sirope Hierba Luisa</t>
  </si>
  <si>
    <t>Humo</t>
  </si>
  <si>
    <t>Caballo 5L</t>
  </si>
  <si>
    <t>Sapo Cururu</t>
  </si>
  <si>
    <t>Pure de Guayaba</t>
  </si>
  <si>
    <t>Sirope Higuera</t>
  </si>
  <si>
    <t>Sencha</t>
  </si>
  <si>
    <t xml:space="preserve">Sake </t>
  </si>
  <si>
    <t>Cordial Té Hojicha</t>
  </si>
  <si>
    <t>Yuzu Clarificado</t>
  </si>
  <si>
    <t>Sencha 8L</t>
  </si>
  <si>
    <t>EO Manhattan</t>
  </si>
  <si>
    <t>Michters Rye</t>
  </si>
  <si>
    <t>Cocchi Torino</t>
  </si>
  <si>
    <t>Grand Marnier</t>
  </si>
  <si>
    <t>EO Manhattan 5L</t>
  </si>
  <si>
    <t>Cordial Piparra</t>
  </si>
  <si>
    <t>Plantaion Old Fashioned</t>
  </si>
  <si>
    <t>Mix Whisky Fatwash platano</t>
  </si>
  <si>
    <t>Sirope Platano</t>
  </si>
  <si>
    <t>Plantain Old Fashioned</t>
  </si>
  <si>
    <t>Vermouth Calabaza 2L</t>
  </si>
  <si>
    <t>Bandito</t>
  </si>
  <si>
    <t>Bandito 8L</t>
  </si>
  <si>
    <t>Licor Higo</t>
  </si>
  <si>
    <t>Zumo Lima</t>
  </si>
  <si>
    <t>Zumo Pomelo</t>
  </si>
  <si>
    <t>Leche Entera</t>
  </si>
  <si>
    <t>Pipeta 15ml</t>
  </si>
  <si>
    <t>Té Hibiscus Pipetas</t>
  </si>
  <si>
    <t>Sesahattan</t>
  </si>
  <si>
    <t>Johnnie Walker</t>
  </si>
  <si>
    <t>Jack Daniels</t>
  </si>
  <si>
    <t>Makers Mark</t>
  </si>
  <si>
    <t>Cinzano 1757 rojo</t>
  </si>
  <si>
    <t>Vermouth Extra Dry 1757</t>
  </si>
  <si>
    <t>Aceite Sesamo</t>
  </si>
  <si>
    <t>Sesahattan 5L</t>
  </si>
  <si>
    <t>Tomate &amp; Strawberry</t>
  </si>
  <si>
    <t>Tanqueray Fresas</t>
  </si>
  <si>
    <t>Amontillado</t>
  </si>
  <si>
    <t>Agua Tomate Sal`pimentada</t>
  </si>
  <si>
    <t>Tomate &amp; Strawberry 5L</t>
  </si>
  <si>
    <t>Jazz Cleopatra</t>
  </si>
  <si>
    <t>Sirope Guayaba</t>
  </si>
  <si>
    <t>Licor Coco</t>
  </si>
  <si>
    <t>Licor Mandarina</t>
  </si>
  <si>
    <t>Jazz Cleopatra 5L</t>
  </si>
  <si>
    <t>Titura Contriti</t>
  </si>
  <si>
    <t>Tintura Contriti</t>
  </si>
  <si>
    <t>Refresco Soda Higuera Three Cents</t>
  </si>
  <si>
    <t>Cerveza Guinness</t>
  </si>
  <si>
    <t>Brandy Fundador Supremo 12</t>
  </si>
  <si>
    <t>Champagne Vicent d Astre</t>
  </si>
  <si>
    <t>Champagne Palmer</t>
  </si>
  <si>
    <t>Champagne Ruinart Rose</t>
  </si>
  <si>
    <t>Vino Mar de Envero</t>
  </si>
  <si>
    <t>Vino Boton de gallo</t>
  </si>
  <si>
    <t>Vino Miraval</t>
  </si>
  <si>
    <t>Tequila Su Reposado</t>
  </si>
  <si>
    <t>Tequila Su Blanco</t>
  </si>
  <si>
    <t>Gin Neway</t>
  </si>
  <si>
    <t>Cogñac VSOP</t>
  </si>
  <si>
    <t>Vino Tinto Doble RR</t>
  </si>
  <si>
    <t>Sirope Hierbaluisa</t>
  </si>
  <si>
    <t>Licor Herbal 5L</t>
  </si>
  <si>
    <t>Sirope Hierba Luisa 2L</t>
  </si>
  <si>
    <t>Gin Fresas</t>
  </si>
  <si>
    <t>Agua de Tomate</t>
  </si>
  <si>
    <t>Yuzu Clarificado 2L</t>
  </si>
  <si>
    <t>Licor de Café Cabra</t>
  </si>
  <si>
    <t>Licor de Café Cabra 2L</t>
  </si>
  <si>
    <t>Licor de Café Borguetti</t>
  </si>
  <si>
    <t>Queso de Cabra Sosa</t>
  </si>
  <si>
    <t>Agua de Fresas</t>
  </si>
  <si>
    <t>Acido Citrico</t>
  </si>
  <si>
    <t>Acido Malico</t>
  </si>
  <si>
    <t>Hibiki Harmony</t>
  </si>
  <si>
    <t>Greygoose</t>
  </si>
  <si>
    <t>JJ Whitley</t>
  </si>
  <si>
    <t>Roku Gin</t>
  </si>
  <si>
    <t>Bombay Saphire</t>
  </si>
  <si>
    <t>Whitley Neill</t>
  </si>
  <si>
    <t>Ron Fat Wash</t>
  </si>
  <si>
    <t>Mantequilla</t>
  </si>
  <si>
    <t>Nuez Moscada</t>
  </si>
  <si>
    <t>Canela Molida</t>
  </si>
  <si>
    <t>Pera</t>
  </si>
  <si>
    <t>Pectinasa</t>
  </si>
  <si>
    <t>Peras</t>
  </si>
  <si>
    <t xml:space="preserve">Sirope </t>
  </si>
  <si>
    <t>Shiso</t>
  </si>
  <si>
    <t>Whisky Fat Wash Platano</t>
  </si>
  <si>
    <t xml:space="preserve">Mantequilla </t>
  </si>
  <si>
    <t>Platano Verde</t>
  </si>
  <si>
    <t>Sirope de Platano</t>
  </si>
  <si>
    <t>Pure de Platano</t>
  </si>
  <si>
    <t>Cordial té Hojicha</t>
  </si>
  <si>
    <t>Té Hojicha</t>
  </si>
  <si>
    <t>Sirope Platano 2L</t>
  </si>
  <si>
    <t>Cordial Té Hojicha 2L</t>
  </si>
  <si>
    <t>Tequila Shiso 5L</t>
  </si>
  <si>
    <t>Bourbon Mantequilla 5L</t>
  </si>
  <si>
    <t>Bubi 5L</t>
  </si>
  <si>
    <t>Licor Lemon Grass 5L</t>
  </si>
  <si>
    <t>rugal Extra Viejo</t>
  </si>
  <si>
    <t>Brugal Añejo</t>
  </si>
  <si>
    <t>Sirope Peras al Horno 2L</t>
  </si>
  <si>
    <t>Cordial de Pera</t>
  </si>
  <si>
    <t>Cordial de Pera 2L</t>
  </si>
  <si>
    <t>Ron Fat Wash 2L</t>
  </si>
  <si>
    <t>Gin Té Matcha 5L</t>
  </si>
  <si>
    <t>Indio Navajo 5L</t>
  </si>
  <si>
    <t>Licor Lima Kaffir 5L</t>
  </si>
  <si>
    <t>Sapo Cururu 5L</t>
  </si>
  <si>
    <t>Reno 5L</t>
  </si>
  <si>
    <t>Cordial Fresas 5L</t>
  </si>
  <si>
    <t>Manabi 5L</t>
  </si>
  <si>
    <t>Sirope Higuera 5L</t>
  </si>
  <si>
    <t>Licor pandam 10L</t>
  </si>
  <si>
    <t>Garrafa 10L</t>
  </si>
  <si>
    <t>Josephine y los 7   10L</t>
  </si>
  <si>
    <t>Leona 8L</t>
  </si>
  <si>
    <t>Sirope eneldo 4L</t>
  </si>
  <si>
    <t>Botellas</t>
  </si>
  <si>
    <t>Whisky Fat Wash Platano 2L</t>
  </si>
  <si>
    <t>Gin fresas 2L</t>
  </si>
  <si>
    <t>Zumo de Tomate Arbol</t>
  </si>
  <si>
    <t>Zumk Tomate Arbol</t>
  </si>
  <si>
    <t>Zumo Tomate de Arbol 2L</t>
  </si>
  <si>
    <t>Licor Maiz Morado 2L</t>
  </si>
  <si>
    <t>Licor Mango Picante 2L</t>
  </si>
  <si>
    <t>Plantain Old Fashioned 2L</t>
  </si>
  <si>
    <t>Sirope Tamarindo 2L</t>
  </si>
  <si>
    <t>Cordial Agua de Tomate 2L</t>
  </si>
  <si>
    <t>Agua de Tomate 1L</t>
  </si>
  <si>
    <t>Vino Tinto Valduero</t>
  </si>
  <si>
    <t>Vino Tinto Pies Negros</t>
  </si>
  <si>
    <t>Vino Frissante Plate Pasion</t>
  </si>
  <si>
    <t>Sirope Guayaba Ploto (BORDINO)</t>
  </si>
  <si>
    <t>Sirope Monin Spoice Pumking</t>
  </si>
  <si>
    <t>Bitter Ruibarb</t>
  </si>
  <si>
    <t>Tequila Patron  Reposado</t>
  </si>
  <si>
    <t>Tequila Patron Silver</t>
  </si>
  <si>
    <t>Mezcal Union Viejo</t>
  </si>
  <si>
    <t>Vermouth Martini Bianco</t>
  </si>
  <si>
    <t xml:space="preserve">cordial de piparra </t>
  </si>
  <si>
    <t>cordial de piparra 2L</t>
  </si>
  <si>
    <t>F. Maya sin</t>
  </si>
  <si>
    <t>Pipa pipa sin</t>
  </si>
  <si>
    <t>Shunme Sin</t>
  </si>
  <si>
    <t>Refresco Sandia TH</t>
  </si>
  <si>
    <t>Vino Amontillado Torre Macharnudo</t>
  </si>
  <si>
    <t>Vino Oloroso Torre Macharnudo</t>
  </si>
  <si>
    <t>Vino Palo Cortado Torre Macharnudo</t>
  </si>
  <si>
    <t>Vino Fino Micaela</t>
  </si>
  <si>
    <t>Whisky Johnnie Walker Blue Label Port Dunas</t>
  </si>
  <si>
    <t>Brandy Fundador Supremo 15</t>
  </si>
  <si>
    <t>Vino Pedro Ximenez Torre Macharnudo</t>
  </si>
  <si>
    <t>Watermelon 2L</t>
  </si>
  <si>
    <t>Shunme Sin 2L</t>
  </si>
  <si>
    <t>F. Maya Sin 2L</t>
  </si>
  <si>
    <t>Vino Amontillado Micaela</t>
  </si>
  <si>
    <t>Whisky Toki</t>
  </si>
  <si>
    <t>a</t>
  </si>
  <si>
    <t>Ron Santa Teresa Rsv</t>
  </si>
  <si>
    <t>Whisky Hibiki 21</t>
  </si>
  <si>
    <t>Gin Beefeater black</t>
  </si>
  <si>
    <t>Ron Arehucas seleccion familiar</t>
  </si>
  <si>
    <t>Cerveza Aguila</t>
  </si>
  <si>
    <t>Licor Mora Marie Brizard</t>
  </si>
  <si>
    <t>Aperitivo Punt e Mes</t>
  </si>
  <si>
    <t>Licor Hoja de Higuera</t>
  </si>
  <si>
    <t>Martini Rubino</t>
  </si>
  <si>
    <t>Tequila Tequileño reposado</t>
  </si>
  <si>
    <t>Tequila Nodo Blanco</t>
  </si>
  <si>
    <t>Tequila Tequileño Platinum</t>
  </si>
  <si>
    <t>La Venenosa Tabernas</t>
  </si>
  <si>
    <t>Mezcal Ilegal Blanco</t>
  </si>
  <si>
    <t>Mezcal Ilegal Reposado</t>
  </si>
  <si>
    <t>Mezcal Ilegal Añejo</t>
  </si>
  <si>
    <t>Pisco Demonio de los Andes Qebranta</t>
  </si>
  <si>
    <t>Sirope Agave Polot (BORDINO)</t>
  </si>
  <si>
    <t xml:space="preserve">Soda de Pomelo Rosa Three Cents </t>
  </si>
  <si>
    <t>Mix Criollo 2L</t>
  </si>
  <si>
    <t>Mowgli 5L</t>
  </si>
  <si>
    <t>Festin Nordico 8L</t>
  </si>
  <si>
    <t>Agua de Tomate 2L</t>
  </si>
  <si>
    <t>Tequila Mijenta Cristalinmo</t>
  </si>
  <si>
    <t>Josephine sin</t>
  </si>
  <si>
    <t>Mix josephine sin 2L</t>
  </si>
  <si>
    <t>Sirope maraschino 2L</t>
  </si>
  <si>
    <t>Whisky Galleta 2L</t>
  </si>
  <si>
    <t>Nordico Sin 2L</t>
  </si>
  <si>
    <t>Solucion salina 1L</t>
  </si>
  <si>
    <t>Pipa - pipa Sin 2L</t>
  </si>
  <si>
    <t>Sirope Pandam</t>
  </si>
  <si>
    <t>ST Germain</t>
  </si>
  <si>
    <t>Martini Vibrante</t>
  </si>
  <si>
    <t>Agua Fuentsanta</t>
  </si>
  <si>
    <t>WATERMELON HIHGBALL</t>
  </si>
  <si>
    <t>Licor Cantalupe</t>
  </si>
  <si>
    <t>Watermelon Highball</t>
  </si>
  <si>
    <t>Whisky Dewards 12</t>
  </si>
  <si>
    <t>Mezcal Rosa Luna</t>
  </si>
  <si>
    <t>Roin Don Q Blanco</t>
  </si>
  <si>
    <t>Ron Don Q Dorado</t>
  </si>
  <si>
    <t xml:space="preserve">Prosseco Martini </t>
  </si>
  <si>
    <t>Vino fino Torre Macharnudo</t>
  </si>
  <si>
    <t>Vermouth Martini Extra Dry</t>
  </si>
  <si>
    <t>Irish Coffe</t>
  </si>
  <si>
    <t>Licor Pomelo Sin Giffard</t>
  </si>
  <si>
    <t>Licor de cafe Mr Black</t>
  </si>
  <si>
    <t>Ron Duppy Blanco</t>
  </si>
  <si>
    <t>Ron Clairin Le Rocher Agricole</t>
  </si>
  <si>
    <t>Ron Plantein Pineapple</t>
  </si>
  <si>
    <t>Ron Plantation sealander</t>
  </si>
  <si>
    <t xml:space="preserve">Bitter Cacao Angostura </t>
  </si>
  <si>
    <t>Tintura de Contriti</t>
  </si>
  <si>
    <t>Agua de Fresas 2L</t>
  </si>
  <si>
    <t>Demerara 1L</t>
  </si>
  <si>
    <t>Café Decaf 0,2</t>
  </si>
  <si>
    <t>Ron Abuelo Blanco</t>
  </si>
  <si>
    <t>Naked</t>
  </si>
  <si>
    <t>ABSENTA</t>
  </si>
  <si>
    <t>AGUA</t>
  </si>
  <si>
    <t>AMAROS</t>
  </si>
  <si>
    <t>APERITIVOS</t>
  </si>
  <si>
    <t>ARMAGÑAC</t>
  </si>
  <si>
    <t>BITTERS</t>
  </si>
  <si>
    <t>Dewards 12</t>
  </si>
  <si>
    <t>Sirope demerara</t>
  </si>
  <si>
    <t>Sirope de Demerara</t>
  </si>
  <si>
    <t>Mezcal Santo Gusano</t>
  </si>
  <si>
    <t>Whisky Bourbon Four Roses</t>
  </si>
  <si>
    <t>Whisky Chivas 12</t>
  </si>
  <si>
    <t>O,7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</si>
</sst>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#,##0.00\ [$€-C0A]"/>
    <numFmt numFmtId="165" formatCode="#,##0.00\ &quot;€&quot;"/>
    <numFmt numFmtId="166" formatCode="_-* #,##0.00\ [$€-C0A]_-;\-* #,##0.00\ [$€-C0A]_-;_-* &quot;-&quot;??\ [$€-C0A]_-;_-@_-"/>
    <numFmt numFmtId="167" formatCode="#,##0.00\ _€"/>
    <numFmt numFmtId="168" formatCode="0.0"/>
  </numFmts>
  <fonts count="39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D3A548"/>
      <name val="Arial"/>
      <family val="2"/>
    </font>
    <font>
      <b/>
      <sz val="11"/>
      <color rgb="FFFF0000"/>
      <name val="Arial"/>
      <family val="2"/>
    </font>
    <font>
      <sz val="12"/>
      <color rgb="FFD3A548"/>
      <name val="Calibri"/>
      <family val="2"/>
      <scheme val="minor"/>
    </font>
    <font>
      <sz val="11"/>
      <color rgb="FFD3A548"/>
      <name val="Calibri"/>
      <family val="2"/>
      <scheme val="minor"/>
    </font>
    <font>
      <sz val="11"/>
      <color rgb="FFFF0000"/>
      <name val="Arial"/>
      <family val="2"/>
    </font>
    <font>
      <b/>
      <sz val="11"/>
      <color rgb="FFD3A548"/>
      <name val="Calibri"/>
      <family val="2"/>
      <scheme val="minor"/>
    </font>
    <font>
      <b/>
      <sz val="11"/>
      <color rgb="FF1C2639"/>
      <name val="Calibri"/>
      <family val="2"/>
      <scheme val="minor"/>
    </font>
    <font>
      <b/>
      <sz val="12"/>
      <color rgb="FFD3A548"/>
      <name val="Calibri"/>
      <family val="2"/>
      <scheme val="minor"/>
    </font>
    <font>
      <b/>
      <sz val="12"/>
      <color rgb="FF1C2639"/>
      <name val="Calibri"/>
      <family val="2"/>
      <scheme val="minor"/>
    </font>
    <font>
      <sz val="11"/>
      <color rgb="FF1C2639"/>
      <name val="Arial"/>
      <family val="2"/>
    </font>
    <font>
      <sz val="11"/>
      <color rgb="FFD3A548"/>
      <name val="Calibri"/>
      <family val="2"/>
      <scheme val="major"/>
    </font>
    <font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1C2639"/>
      <name val="Calibri"/>
      <family val="2"/>
      <scheme val="major"/>
    </font>
    <font>
      <sz val="11"/>
      <color rgb="FFFF0000"/>
      <name val="Calibri"/>
      <family val="2"/>
      <scheme val="major"/>
    </font>
    <font>
      <u/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2"/>
      <color rgb="FF1C2639"/>
      <name val="Calibri"/>
      <family val="2"/>
      <scheme val="minor"/>
    </font>
    <font>
      <sz val="12"/>
      <color theme="0"/>
      <name val="Calibri"/>
      <family val="2"/>
    </font>
    <font>
      <sz val="11"/>
      <name val="Arial"/>
      <family val="2"/>
    </font>
    <font>
      <sz val="12"/>
      <color theme="0"/>
      <name val="Calibri"/>
      <family val="2"/>
      <scheme val="minor"/>
    </font>
    <font>
      <sz val="14"/>
      <color rgb="FFD3A548"/>
      <name val="Calibri"/>
      <family val="2"/>
      <scheme val="minor"/>
    </font>
    <font>
      <sz val="11"/>
      <color rgb="FFD3A548"/>
      <name val="Calibri"/>
      <family val="2"/>
    </font>
    <font>
      <b/>
      <sz val="11"/>
      <color rgb="FF1C2639"/>
      <name val="Arial"/>
      <family val="2"/>
    </font>
    <font>
      <sz val="11"/>
      <color rgb="FFD3A548"/>
      <name val="Avenir"/>
    </font>
    <font>
      <sz val="6"/>
      <name val="Yu Gothic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1C2639"/>
        <bgColor indexed="64"/>
      </patternFill>
    </fill>
    <fill>
      <patternFill patternType="solid">
        <fgColor rgb="FFD3A548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1C2639"/>
        <bgColor theme="0"/>
      </patternFill>
    </fill>
    <fill>
      <patternFill patternType="solid">
        <fgColor rgb="FFD3A548"/>
        <bgColor rgb="FF366092"/>
      </patternFill>
    </fill>
    <fill>
      <patternFill patternType="solid">
        <fgColor rgb="FFD3A548"/>
        <bgColor rgb="FFECE720"/>
      </patternFill>
    </fill>
    <fill>
      <patternFill patternType="solid">
        <fgColor rgb="FF1C2639"/>
        <bgColor rgb="FF1C2639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3A548"/>
      </left>
      <right style="thin">
        <color rgb="FFD3A548"/>
      </right>
      <top style="thin">
        <color rgb="FFD3A548"/>
      </top>
      <bottom style="thin">
        <color rgb="FFD3A548"/>
      </bottom>
      <diagonal/>
    </border>
    <border>
      <left/>
      <right style="thin">
        <color rgb="FFD3A548"/>
      </right>
      <top style="thin">
        <color rgb="FFD3A548"/>
      </top>
      <bottom style="thin">
        <color rgb="FFD3A548"/>
      </bottom>
      <diagonal/>
    </border>
    <border>
      <left style="thin">
        <color rgb="FFD3A548"/>
      </left>
      <right style="thin">
        <color rgb="FFD3A548"/>
      </right>
      <top/>
      <bottom style="thin">
        <color rgb="FFD3A548"/>
      </bottom>
      <diagonal/>
    </border>
    <border>
      <left/>
      <right/>
      <top/>
      <bottom style="thin">
        <color rgb="FFD3A54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3A548"/>
      </left>
      <right style="thin">
        <color rgb="FFD3A548"/>
      </right>
      <top style="thin">
        <color rgb="FFD3A548"/>
      </top>
      <bottom/>
      <diagonal/>
    </border>
    <border>
      <left style="thin">
        <color rgb="FFD3A548"/>
      </left>
      <right/>
      <top style="thin">
        <color rgb="FFD3A548"/>
      </top>
      <bottom/>
      <diagonal/>
    </border>
    <border>
      <left style="thin">
        <color rgb="FFD3A548"/>
      </left>
      <right/>
      <top style="thin">
        <color rgb="FFD3A548"/>
      </top>
      <bottom style="thin">
        <color rgb="FFD3A548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D3A548"/>
      </left>
      <right style="thin">
        <color rgb="FF000000"/>
      </right>
      <top style="thin">
        <color rgb="FFD3A548"/>
      </top>
      <bottom style="thin">
        <color rgb="FFD3A548"/>
      </bottom>
      <diagonal/>
    </border>
    <border>
      <left style="thin">
        <color rgb="FF000000"/>
      </left>
      <right style="thin">
        <color rgb="FF000000"/>
      </right>
      <top style="thin">
        <color rgb="FFD3A548"/>
      </top>
      <bottom style="thin">
        <color rgb="FFD3A548"/>
      </bottom>
      <diagonal/>
    </border>
    <border>
      <left style="thin">
        <color rgb="FF000000"/>
      </left>
      <right style="thin">
        <color rgb="FFD3A548"/>
      </right>
      <top style="thin">
        <color rgb="FFD3A548"/>
      </top>
      <bottom style="thin">
        <color rgb="FFD3A548"/>
      </bottom>
      <diagonal/>
    </border>
    <border>
      <left/>
      <right/>
      <top style="thin">
        <color rgb="FFD3A548"/>
      </top>
      <bottom/>
      <diagonal/>
    </border>
    <border>
      <left/>
      <right style="thin">
        <color rgb="FFD3A548"/>
      </right>
      <top style="thin">
        <color rgb="FFD3A548"/>
      </top>
      <bottom/>
      <diagonal/>
    </border>
    <border>
      <left style="thin">
        <color rgb="FFD3A548"/>
      </left>
      <right/>
      <top/>
      <bottom/>
      <diagonal/>
    </border>
    <border>
      <left/>
      <right style="thin">
        <color rgb="FFD3A548"/>
      </right>
      <top/>
      <bottom/>
      <diagonal/>
    </border>
    <border>
      <left style="thin">
        <color rgb="FFD3A548"/>
      </left>
      <right/>
      <top/>
      <bottom style="thin">
        <color rgb="FFD3A548"/>
      </bottom>
      <diagonal/>
    </border>
    <border>
      <left/>
      <right style="thin">
        <color rgb="FFD3A548"/>
      </right>
      <top/>
      <bottom style="thin">
        <color rgb="FFD3A548"/>
      </bottom>
      <diagonal/>
    </border>
    <border>
      <left style="thin">
        <color rgb="FFD3A548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D3A548"/>
      </left>
      <right style="medium">
        <color rgb="FF000000"/>
      </right>
      <top/>
      <bottom style="thin">
        <color rgb="FFD3A548"/>
      </bottom>
      <diagonal/>
    </border>
    <border>
      <left style="thin">
        <color rgb="FF000000"/>
      </left>
      <right/>
      <top style="thin">
        <color rgb="FFD3A548"/>
      </top>
      <bottom style="thin">
        <color rgb="FFD3A548"/>
      </bottom>
      <diagonal/>
    </border>
    <border>
      <left style="medium">
        <color indexed="64"/>
      </left>
      <right style="medium">
        <color indexed="64"/>
      </right>
      <top style="thin">
        <color rgb="FFD3A548"/>
      </top>
      <bottom style="thin">
        <color rgb="FFD3A548"/>
      </bottom>
      <diagonal/>
    </border>
    <border>
      <left/>
      <right style="thin">
        <color rgb="FF000000"/>
      </right>
      <top style="thin">
        <color rgb="FFD3A548"/>
      </top>
      <bottom style="thin">
        <color rgb="FFD3A548"/>
      </bottom>
      <diagonal/>
    </border>
    <border>
      <left style="medium">
        <color indexed="64"/>
      </left>
      <right style="thin">
        <color indexed="64"/>
      </right>
      <top style="thin">
        <color rgb="FFD3A548"/>
      </top>
      <bottom style="thin">
        <color rgb="FFD3A548"/>
      </bottom>
      <diagonal/>
    </border>
    <border>
      <left style="thin">
        <color indexed="64"/>
      </left>
      <right style="thin">
        <color indexed="64"/>
      </right>
      <top style="thin">
        <color rgb="FFD3A548"/>
      </top>
      <bottom style="thin">
        <color rgb="FFD3A548"/>
      </bottom>
      <diagonal/>
    </border>
    <border>
      <left style="thin">
        <color indexed="64"/>
      </left>
      <right style="thin">
        <color rgb="FFD3A548"/>
      </right>
      <top style="thin">
        <color rgb="FFD3A548"/>
      </top>
      <bottom style="thin">
        <color rgb="FFD3A548"/>
      </bottom>
      <diagonal/>
    </border>
    <border>
      <left/>
      <right/>
      <top style="thin">
        <color rgb="FFD3A548"/>
      </top>
      <bottom style="thin">
        <color rgb="FFD3A548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3A548"/>
      </left>
      <right/>
      <top style="thin">
        <color rgb="FFD3A548"/>
      </top>
      <bottom style="medium">
        <color rgb="FF000000"/>
      </bottom>
      <diagonal/>
    </border>
    <border>
      <left/>
      <right/>
      <top style="thin">
        <color rgb="FFD3A548"/>
      </top>
      <bottom style="medium">
        <color rgb="FF000000"/>
      </bottom>
      <diagonal/>
    </border>
    <border>
      <left style="thin">
        <color rgb="FFD3A548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thin">
        <color rgb="FFD3A548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D3A548"/>
      </right>
      <top style="medium">
        <color rgb="FF000000"/>
      </top>
      <bottom/>
      <diagonal/>
    </border>
    <border>
      <left/>
      <right style="thin">
        <color rgb="FFD3A548"/>
      </right>
      <top/>
      <bottom style="medium">
        <color rgb="FF000000"/>
      </bottom>
      <diagonal/>
    </border>
    <border>
      <left style="thin">
        <color rgb="FFD3A548"/>
      </left>
      <right style="medium">
        <color rgb="FF000000"/>
      </right>
      <top style="medium">
        <color rgb="FF000000"/>
      </top>
      <bottom style="thin">
        <color rgb="FFD3A548"/>
      </bottom>
      <diagonal/>
    </border>
    <border>
      <left/>
      <right/>
      <top style="medium">
        <color rgb="FF000000"/>
      </top>
      <bottom style="thin">
        <color rgb="FFD3A548"/>
      </bottom>
      <diagonal/>
    </border>
    <border>
      <left/>
      <right style="thin">
        <color rgb="FFD3A548"/>
      </right>
      <top style="medium">
        <color rgb="FF000000"/>
      </top>
      <bottom style="thin">
        <color rgb="FFD3A54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D3A548"/>
      </left>
      <right style="medium">
        <color indexed="64"/>
      </right>
      <top/>
      <bottom style="thin">
        <color rgb="FFD3A548"/>
      </bottom>
      <diagonal/>
    </border>
    <border>
      <left style="medium">
        <color indexed="64"/>
      </left>
      <right style="medium">
        <color indexed="64"/>
      </right>
      <top/>
      <bottom style="thin">
        <color rgb="FFD3A548"/>
      </bottom>
      <diagonal/>
    </border>
    <border>
      <left style="medium">
        <color indexed="64"/>
      </left>
      <right style="thin">
        <color rgb="FFD3A548"/>
      </right>
      <top/>
      <bottom style="thin">
        <color rgb="FFD3A548"/>
      </bottom>
      <diagonal/>
    </border>
    <border>
      <left style="thin">
        <color rgb="FFD3A548"/>
      </left>
      <right style="medium">
        <color indexed="64"/>
      </right>
      <top style="thin">
        <color rgb="FFD3A548"/>
      </top>
      <bottom style="thin">
        <color rgb="FFD3A548"/>
      </bottom>
      <diagonal/>
    </border>
    <border>
      <left style="medium">
        <color indexed="64"/>
      </left>
      <right style="thin">
        <color rgb="FFD3A548"/>
      </right>
      <top style="thin">
        <color rgb="FFD3A548"/>
      </top>
      <bottom style="thin">
        <color rgb="FFD3A548"/>
      </bottom>
      <diagonal/>
    </border>
    <border>
      <left style="medium">
        <color rgb="FF000000"/>
      </left>
      <right/>
      <top style="medium">
        <color rgb="FF000000"/>
      </top>
      <bottom style="thin">
        <color rgb="FFD3A548"/>
      </bottom>
      <diagonal/>
    </border>
    <border>
      <left/>
      <right style="medium">
        <color rgb="FF000000"/>
      </right>
      <top style="medium">
        <color rgb="FF000000"/>
      </top>
      <bottom style="thin">
        <color rgb="FFD3A548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D3A548"/>
      </left>
      <right style="thin">
        <color rgb="FFD3A548"/>
      </right>
      <top/>
      <bottom/>
      <diagonal/>
    </border>
  </borders>
  <cellStyleXfs count="4">
    <xf numFmtId="0" fontId="0" fillId="0" borderId="0"/>
    <xf numFmtId="0" fontId="4" fillId="0" borderId="0"/>
    <xf numFmtId="0" fontId="10" fillId="0" borderId="0"/>
    <xf numFmtId="44" fontId="24" fillId="0" borderId="0" applyFont="0" applyFill="0" applyBorder="0" applyAlignment="0" applyProtection="0"/>
  </cellStyleXfs>
  <cellXfs count="301">
    <xf numFmtId="0" fontId="0" fillId="0" borderId="0" xfId="0"/>
    <xf numFmtId="0" fontId="5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6" fillId="0" borderId="1" xfId="0" applyFont="1" applyBorder="1" applyAlignment="1">
      <alignment horizontal="left"/>
    </xf>
    <xf numFmtId="166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0" fontId="13" fillId="2" borderId="2" xfId="0" applyFont="1" applyFill="1" applyBorder="1" applyAlignment="1">
      <alignment wrapText="1"/>
    </xf>
    <xf numFmtId="0" fontId="13" fillId="2" borderId="2" xfId="0" applyFont="1" applyFill="1" applyBorder="1"/>
    <xf numFmtId="0" fontId="13" fillId="2" borderId="2" xfId="0" applyFont="1" applyFill="1" applyBorder="1" applyAlignment="1">
      <alignment vertical="center" wrapText="1"/>
    </xf>
    <xf numFmtId="0" fontId="14" fillId="2" borderId="2" xfId="0" applyFont="1" applyFill="1" applyBorder="1" applyAlignment="1">
      <alignment wrapText="1"/>
    </xf>
    <xf numFmtId="0" fontId="14" fillId="2" borderId="2" xfId="0" applyFont="1" applyFill="1" applyBorder="1"/>
    <xf numFmtId="165" fontId="14" fillId="2" borderId="2" xfId="0" applyNumberFormat="1" applyFont="1" applyFill="1" applyBorder="1"/>
    <xf numFmtId="2" fontId="15" fillId="0" borderId="0" xfId="0" applyNumberFormat="1" applyFont="1" applyAlignment="1">
      <alignment horizontal="center"/>
    </xf>
    <xf numFmtId="0" fontId="15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3" fillId="0" borderId="0" xfId="0" applyFont="1"/>
    <xf numFmtId="168" fontId="14" fillId="2" borderId="2" xfId="0" applyNumberFormat="1" applyFont="1" applyFill="1" applyBorder="1"/>
    <xf numFmtId="0" fontId="6" fillId="0" borderId="0" xfId="0" applyFont="1" applyAlignment="1">
      <alignment wrapText="1"/>
    </xf>
    <xf numFmtId="0" fontId="16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left"/>
    </xf>
    <xf numFmtId="0" fontId="14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left" vertical="center"/>
    </xf>
    <xf numFmtId="2" fontId="14" fillId="2" borderId="2" xfId="0" applyNumberFormat="1" applyFont="1" applyFill="1" applyBorder="1"/>
    <xf numFmtId="0" fontId="13" fillId="2" borderId="2" xfId="0" applyFont="1" applyFill="1" applyBorder="1" applyAlignment="1">
      <alignment vertical="top"/>
    </xf>
    <xf numFmtId="165" fontId="13" fillId="2" borderId="2" xfId="0" applyNumberFormat="1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18" fillId="2" borderId="2" xfId="0" applyFont="1" applyFill="1" applyBorder="1"/>
    <xf numFmtId="0" fontId="18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left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2" fontId="13" fillId="2" borderId="2" xfId="0" applyNumberFormat="1" applyFont="1" applyFill="1" applyBorder="1"/>
    <xf numFmtId="165" fontId="10" fillId="0" borderId="0" xfId="0" applyNumberFormat="1" applyFont="1"/>
    <xf numFmtId="0" fontId="13" fillId="2" borderId="2" xfId="0" applyFont="1" applyFill="1" applyBorder="1" applyAlignment="1">
      <alignment horizontal="left" vertical="center"/>
    </xf>
    <xf numFmtId="0" fontId="13" fillId="2" borderId="0" xfId="0" applyFont="1" applyFill="1"/>
    <xf numFmtId="0" fontId="19" fillId="3" borderId="0" xfId="0" applyFont="1" applyFill="1"/>
    <xf numFmtId="165" fontId="19" fillId="3" borderId="0" xfId="0" applyNumberFormat="1" applyFont="1" applyFill="1" applyAlignment="1">
      <alignment horizontal="right"/>
    </xf>
    <xf numFmtId="0" fontId="7" fillId="0" borderId="0" xfId="0" applyFont="1" applyAlignment="1">
      <alignment horizontal="left"/>
    </xf>
    <xf numFmtId="165" fontId="13" fillId="2" borderId="3" xfId="0" applyNumberFormat="1" applyFont="1" applyFill="1" applyBorder="1"/>
    <xf numFmtId="0" fontId="13" fillId="2" borderId="4" xfId="0" applyFont="1" applyFill="1" applyBorder="1" applyAlignment="1">
      <alignment wrapText="1"/>
    </xf>
    <xf numFmtId="0" fontId="13" fillId="2" borderId="4" xfId="0" applyFont="1" applyFill="1" applyBorder="1"/>
    <xf numFmtId="168" fontId="13" fillId="2" borderId="2" xfId="0" applyNumberFormat="1" applyFont="1" applyFill="1" applyBorder="1"/>
    <xf numFmtId="1" fontId="13" fillId="2" borderId="2" xfId="0" applyNumberFormat="1" applyFont="1" applyFill="1" applyBorder="1"/>
    <xf numFmtId="0" fontId="17" fillId="3" borderId="6" xfId="0" applyFont="1" applyFill="1" applyBorder="1" applyAlignment="1">
      <alignment horizontal="left"/>
    </xf>
    <xf numFmtId="2" fontId="17" fillId="3" borderId="6" xfId="0" applyNumberFormat="1" applyFont="1" applyFill="1" applyBorder="1" applyAlignment="1">
      <alignment horizontal="center"/>
    </xf>
    <xf numFmtId="166" fontId="20" fillId="3" borderId="6" xfId="0" applyNumberFormat="1" applyFont="1" applyFill="1" applyBorder="1"/>
    <xf numFmtId="166" fontId="11" fillId="2" borderId="2" xfId="0" applyNumberFormat="1" applyFont="1" applyFill="1" applyBorder="1"/>
    <xf numFmtId="0" fontId="17" fillId="3" borderId="1" xfId="0" applyFont="1" applyFill="1" applyBorder="1" applyAlignment="1">
      <alignment horizontal="center"/>
    </xf>
    <xf numFmtId="3" fontId="14" fillId="2" borderId="2" xfId="0" applyNumberFormat="1" applyFont="1" applyFill="1" applyBorder="1" applyAlignment="1">
      <alignment horizontal="left"/>
    </xf>
    <xf numFmtId="3" fontId="14" fillId="2" borderId="2" xfId="0" applyNumberFormat="1" applyFont="1" applyFill="1" applyBorder="1"/>
    <xf numFmtId="0" fontId="14" fillId="2" borderId="2" xfId="1" applyFont="1" applyFill="1" applyBorder="1" applyAlignment="1">
      <alignment horizontal="left" vertical="center" wrapText="1"/>
    </xf>
    <xf numFmtId="2" fontId="14" fillId="2" borderId="2" xfId="0" applyNumberFormat="1" applyFont="1" applyFill="1" applyBorder="1" applyAlignment="1">
      <alignment horizontal="left"/>
    </xf>
    <xf numFmtId="0" fontId="17" fillId="3" borderId="2" xfId="0" applyFont="1" applyFill="1" applyBorder="1" applyAlignment="1">
      <alignment horizontal="center"/>
    </xf>
    <xf numFmtId="0" fontId="17" fillId="3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/>
    <xf numFmtId="3" fontId="14" fillId="2" borderId="4" xfId="0" applyNumberFormat="1" applyFont="1" applyFill="1" applyBorder="1"/>
    <xf numFmtId="0" fontId="14" fillId="2" borderId="4" xfId="0" applyFont="1" applyFill="1" applyBorder="1"/>
    <xf numFmtId="0" fontId="11" fillId="2" borderId="2" xfId="0" applyFont="1" applyFill="1" applyBorder="1"/>
    <xf numFmtId="0" fontId="23" fillId="0" borderId="0" xfId="0" applyFont="1"/>
    <xf numFmtId="0" fontId="13" fillId="2" borderId="7" xfId="0" applyFont="1" applyFill="1" applyBorder="1"/>
    <xf numFmtId="164" fontId="26" fillId="3" borderId="1" xfId="0" applyNumberFormat="1" applyFont="1" applyFill="1" applyBorder="1" applyAlignment="1">
      <alignment horizontal="center"/>
    </xf>
    <xf numFmtId="166" fontId="21" fillId="2" borderId="2" xfId="0" applyNumberFormat="1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2" fontId="17" fillId="2" borderId="0" xfId="0" applyNumberFormat="1" applyFont="1" applyFill="1" applyAlignment="1">
      <alignment horizontal="center"/>
    </xf>
    <xf numFmtId="166" fontId="20" fillId="2" borderId="0" xfId="0" applyNumberFormat="1" applyFont="1" applyFill="1"/>
    <xf numFmtId="166" fontId="11" fillId="2" borderId="2" xfId="3" applyNumberFormat="1" applyFont="1" applyFill="1" applyBorder="1"/>
    <xf numFmtId="0" fontId="14" fillId="2" borderId="4" xfId="0" applyFont="1" applyFill="1" applyBorder="1" applyAlignment="1">
      <alignment horizontal="center"/>
    </xf>
    <xf numFmtId="166" fontId="21" fillId="2" borderId="4" xfId="0" applyNumberFormat="1" applyFont="1" applyFill="1" applyBorder="1" applyAlignment="1">
      <alignment horizontal="center"/>
    </xf>
    <xf numFmtId="0" fontId="11" fillId="2" borderId="0" xfId="0" applyFont="1" applyFill="1"/>
    <xf numFmtId="166" fontId="21" fillId="2" borderId="2" xfId="0" applyNumberFormat="1" applyFont="1" applyFill="1" applyBorder="1" applyAlignment="1">
      <alignment horizontal="center" vertical="center"/>
    </xf>
    <xf numFmtId="0" fontId="25" fillId="2" borderId="2" xfId="0" applyFont="1" applyFill="1" applyBorder="1"/>
    <xf numFmtId="0" fontId="25" fillId="2" borderId="2" xfId="0" applyFont="1" applyFill="1" applyBorder="1" applyAlignment="1">
      <alignment horizontal="center"/>
    </xf>
    <xf numFmtId="166" fontId="27" fillId="2" borderId="2" xfId="0" applyNumberFormat="1" applyFont="1" applyFill="1" applyBorder="1" applyAlignment="1">
      <alignment horizontal="center"/>
    </xf>
    <xf numFmtId="166" fontId="21" fillId="2" borderId="2" xfId="0" applyNumberFormat="1" applyFont="1" applyFill="1" applyBorder="1"/>
    <xf numFmtId="0" fontId="21" fillId="2" borderId="2" xfId="0" applyFont="1" applyFill="1" applyBorder="1" applyAlignment="1">
      <alignment horizontal="center"/>
    </xf>
    <xf numFmtId="0" fontId="28" fillId="0" borderId="0" xfId="0" applyFont="1"/>
    <xf numFmtId="0" fontId="15" fillId="0" borderId="0" xfId="0" applyFont="1" applyAlignment="1">
      <alignment horizontal="center"/>
    </xf>
    <xf numFmtId="166" fontId="29" fillId="0" borderId="0" xfId="0" applyNumberFormat="1" applyFont="1" applyAlignment="1">
      <alignment horizontal="center"/>
    </xf>
    <xf numFmtId="0" fontId="30" fillId="3" borderId="0" xfId="0" applyFont="1" applyFill="1" applyAlignment="1">
      <alignment wrapText="1"/>
    </xf>
    <xf numFmtId="0" fontId="13" fillId="3" borderId="2" xfId="0" applyFont="1" applyFill="1" applyBorder="1" applyAlignment="1">
      <alignment horizontal="left"/>
    </xf>
    <xf numFmtId="0" fontId="11" fillId="3" borderId="2" xfId="0" applyFont="1" applyFill="1" applyBorder="1"/>
    <xf numFmtId="0" fontId="13" fillId="3" borderId="2" xfId="0" applyFont="1" applyFill="1" applyBorder="1"/>
    <xf numFmtId="0" fontId="30" fillId="3" borderId="0" xfId="0" applyFont="1" applyFill="1"/>
    <xf numFmtId="0" fontId="31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0" fontId="30" fillId="6" borderId="12" xfId="0" applyFont="1" applyFill="1" applyBorder="1"/>
    <xf numFmtId="0" fontId="30" fillId="7" borderId="13" xfId="0" applyFont="1" applyFill="1" applyBorder="1"/>
    <xf numFmtId="0" fontId="30" fillId="7" borderId="14" xfId="0" applyFont="1" applyFill="1" applyBorder="1"/>
    <xf numFmtId="0" fontId="13" fillId="2" borderId="8" xfId="0" applyFont="1" applyFill="1" applyBorder="1" applyAlignment="1">
      <alignment horizontal="left" wrapText="1"/>
    </xf>
    <xf numFmtId="0" fontId="13" fillId="2" borderId="15" xfId="0" applyFont="1" applyFill="1" applyBorder="1"/>
    <xf numFmtId="0" fontId="13" fillId="2" borderId="15" xfId="0" applyFont="1" applyFill="1" applyBorder="1" applyAlignment="1">
      <alignment vertical="top"/>
    </xf>
    <xf numFmtId="165" fontId="13" fillId="2" borderId="15" xfId="0" applyNumberFormat="1" applyFont="1" applyFill="1" applyBorder="1"/>
    <xf numFmtId="165" fontId="13" fillId="2" borderId="16" xfId="0" applyNumberFormat="1" applyFont="1" applyFill="1" applyBorder="1"/>
    <xf numFmtId="0" fontId="13" fillId="2" borderId="17" xfId="0" applyFont="1" applyFill="1" applyBorder="1" applyAlignment="1">
      <alignment wrapText="1"/>
    </xf>
    <xf numFmtId="165" fontId="13" fillId="2" borderId="0" xfId="0" applyNumberFormat="1" applyFont="1" applyFill="1"/>
    <xf numFmtId="165" fontId="13" fillId="2" borderId="18" xfId="0" applyNumberFormat="1" applyFont="1" applyFill="1" applyBorder="1"/>
    <xf numFmtId="0" fontId="13" fillId="2" borderId="0" xfId="0" applyFont="1" applyFill="1" applyAlignment="1">
      <alignment horizontal="center"/>
    </xf>
    <xf numFmtId="0" fontId="13" fillId="2" borderId="8" xfId="0" applyFont="1" applyFill="1" applyBorder="1"/>
    <xf numFmtId="0" fontId="13" fillId="2" borderId="19" xfId="0" applyFont="1" applyFill="1" applyBorder="1" applyAlignment="1">
      <alignment wrapText="1"/>
    </xf>
    <xf numFmtId="0" fontId="13" fillId="2" borderId="5" xfId="0" applyFont="1" applyFill="1" applyBorder="1"/>
    <xf numFmtId="0" fontId="13" fillId="2" borderId="5" xfId="0" applyFont="1" applyFill="1" applyBorder="1" applyAlignment="1">
      <alignment horizontal="center"/>
    </xf>
    <xf numFmtId="0" fontId="13" fillId="2" borderId="19" xfId="0" applyFont="1" applyFill="1" applyBorder="1"/>
    <xf numFmtId="165" fontId="13" fillId="2" borderId="20" xfId="0" applyNumberFormat="1" applyFont="1" applyFill="1" applyBorder="1"/>
    <xf numFmtId="0" fontId="10" fillId="0" borderId="0" xfId="0" applyFont="1" applyAlignment="1">
      <alignment wrapText="1"/>
    </xf>
    <xf numFmtId="0" fontId="30" fillId="6" borderId="2" xfId="0" applyFont="1" applyFill="1" applyBorder="1"/>
    <xf numFmtId="0" fontId="30" fillId="7" borderId="2" xfId="0" applyFont="1" applyFill="1" applyBorder="1"/>
    <xf numFmtId="167" fontId="13" fillId="2" borderId="0" xfId="0" applyNumberFormat="1" applyFont="1" applyFill="1"/>
    <xf numFmtId="0" fontId="13" fillId="2" borderId="21" xfId="0" applyFont="1" applyFill="1" applyBorder="1" applyAlignment="1">
      <alignment wrapText="1"/>
    </xf>
    <xf numFmtId="0" fontId="13" fillId="2" borderId="22" xfId="0" applyFont="1" applyFill="1" applyBorder="1"/>
    <xf numFmtId="0" fontId="13" fillId="2" borderId="22" xfId="0" applyFont="1" applyFill="1" applyBorder="1" applyAlignment="1">
      <alignment horizontal="center"/>
    </xf>
    <xf numFmtId="0" fontId="13" fillId="2" borderId="23" xfId="0" applyFont="1" applyFill="1" applyBorder="1" applyAlignment="1">
      <alignment vertical="center" wrapText="1"/>
    </xf>
    <xf numFmtId="0" fontId="30" fillId="7" borderId="24" xfId="0" applyFont="1" applyFill="1" applyBorder="1"/>
    <xf numFmtId="0" fontId="30" fillId="7" borderId="25" xfId="0" applyFont="1" applyFill="1" applyBorder="1"/>
    <xf numFmtId="0" fontId="30" fillId="7" borderId="26" xfId="0" applyFont="1" applyFill="1" applyBorder="1"/>
    <xf numFmtId="0" fontId="13" fillId="2" borderId="17" xfId="0" applyFont="1" applyFill="1" applyBorder="1"/>
    <xf numFmtId="0" fontId="13" fillId="2" borderId="8" xfId="0" applyFont="1" applyFill="1" applyBorder="1" applyAlignment="1">
      <alignment wrapText="1"/>
    </xf>
    <xf numFmtId="165" fontId="18" fillId="2" borderId="0" xfId="0" applyNumberFormat="1" applyFont="1" applyFill="1"/>
    <xf numFmtId="0" fontId="13" fillId="2" borderId="9" xfId="0" applyFont="1" applyFill="1" applyBorder="1" applyAlignment="1">
      <alignment vertical="center" wrapText="1"/>
    </xf>
    <xf numFmtId="0" fontId="30" fillId="6" borderId="31" xfId="0" applyFont="1" applyFill="1" applyBorder="1"/>
    <xf numFmtId="0" fontId="30" fillId="7" borderId="32" xfId="0" applyFont="1" applyFill="1" applyBorder="1"/>
    <xf numFmtId="0" fontId="30" fillId="7" borderId="33" xfId="0" applyFont="1" applyFill="1" applyBorder="1"/>
    <xf numFmtId="0" fontId="30" fillId="7" borderId="34" xfId="0" applyFont="1" applyFill="1" applyBorder="1"/>
    <xf numFmtId="0" fontId="30" fillId="6" borderId="36" xfId="0" applyFont="1" applyFill="1" applyBorder="1"/>
    <xf numFmtId="0" fontId="30" fillId="7" borderId="36" xfId="0" applyFont="1" applyFill="1" applyBorder="1"/>
    <xf numFmtId="0" fontId="13" fillId="2" borderId="37" xfId="0" applyFont="1" applyFill="1" applyBorder="1" applyAlignment="1">
      <alignment horizontal="left" wrapText="1"/>
    </xf>
    <xf numFmtId="0" fontId="13" fillId="2" borderId="0" xfId="0" applyFont="1" applyFill="1" applyAlignment="1">
      <alignment vertical="top"/>
    </xf>
    <xf numFmtId="165" fontId="13" fillId="2" borderId="38" xfId="0" applyNumberFormat="1" applyFont="1" applyFill="1" applyBorder="1"/>
    <xf numFmtId="0" fontId="13" fillId="2" borderId="37" xfId="0" applyFont="1" applyFill="1" applyBorder="1" applyAlignment="1">
      <alignment wrapText="1"/>
    </xf>
    <xf numFmtId="0" fontId="13" fillId="2" borderId="10" xfId="0" applyFont="1" applyFill="1" applyBorder="1"/>
    <xf numFmtId="165" fontId="13" fillId="2" borderId="35" xfId="0" applyNumberFormat="1" applyFont="1" applyFill="1" applyBorder="1"/>
    <xf numFmtId="0" fontId="13" fillId="2" borderId="39" xfId="0" applyFont="1" applyFill="1" applyBorder="1" applyAlignment="1">
      <alignment wrapText="1"/>
    </xf>
    <xf numFmtId="0" fontId="13" fillId="2" borderId="37" xfId="0" applyFont="1" applyFill="1" applyBorder="1"/>
    <xf numFmtId="0" fontId="13" fillId="2" borderId="40" xfId="0" applyFont="1" applyFill="1" applyBorder="1" applyAlignment="1">
      <alignment vertical="center" wrapText="1"/>
    </xf>
    <xf numFmtId="0" fontId="30" fillId="6" borderId="34" xfId="0" applyFont="1" applyFill="1" applyBorder="1"/>
    <xf numFmtId="0" fontId="30" fillId="6" borderId="46" xfId="0" applyFont="1" applyFill="1" applyBorder="1"/>
    <xf numFmtId="0" fontId="30" fillId="7" borderId="47" xfId="0" applyFont="1" applyFill="1" applyBorder="1"/>
    <xf numFmtId="0" fontId="30" fillId="7" borderId="48" xfId="0" applyFont="1" applyFill="1" applyBorder="1"/>
    <xf numFmtId="0" fontId="30" fillId="7" borderId="49" xfId="0" applyFont="1" applyFill="1" applyBorder="1"/>
    <xf numFmtId="0" fontId="30" fillId="6" borderId="50" xfId="0" applyFont="1" applyFill="1" applyBorder="1"/>
    <xf numFmtId="0" fontId="30" fillId="6" borderId="51" xfId="0" applyFont="1" applyFill="1" applyBorder="1"/>
    <xf numFmtId="0" fontId="30" fillId="7" borderId="51" xfId="0" applyFont="1" applyFill="1" applyBorder="1"/>
    <xf numFmtId="165" fontId="13" fillId="2" borderId="52" xfId="0" applyNumberFormat="1" applyFont="1" applyFill="1" applyBorder="1"/>
    <xf numFmtId="0" fontId="13" fillId="2" borderId="39" xfId="0" applyFont="1" applyFill="1" applyBorder="1"/>
    <xf numFmtId="165" fontId="13" fillId="2" borderId="53" xfId="0" applyNumberFormat="1" applyFont="1" applyFill="1" applyBorder="1"/>
    <xf numFmtId="0" fontId="13" fillId="2" borderId="54" xfId="0" applyFont="1" applyFill="1" applyBorder="1" applyAlignment="1">
      <alignment wrapText="1"/>
    </xf>
    <xf numFmtId="0" fontId="30" fillId="7" borderId="57" xfId="0" applyFont="1" applyFill="1" applyBorder="1"/>
    <xf numFmtId="0" fontId="13" fillId="2" borderId="10" xfId="0" applyFont="1" applyFill="1" applyBorder="1" applyAlignment="1">
      <alignment horizontal="left" wrapText="1"/>
    </xf>
    <xf numFmtId="0" fontId="13" fillId="2" borderId="11" xfId="0" applyFont="1" applyFill="1" applyBorder="1"/>
    <xf numFmtId="0" fontId="13" fillId="2" borderId="11" xfId="0" applyFont="1" applyFill="1" applyBorder="1" applyAlignment="1">
      <alignment vertical="top"/>
    </xf>
    <xf numFmtId="165" fontId="13" fillId="2" borderId="11" xfId="0" applyNumberFormat="1" applyFont="1" applyFill="1" applyBorder="1"/>
    <xf numFmtId="0" fontId="13" fillId="2" borderId="40" xfId="0" applyFont="1" applyFill="1" applyBorder="1" applyAlignment="1">
      <alignment wrapText="1"/>
    </xf>
    <xf numFmtId="0" fontId="30" fillId="6" borderId="59" xfId="0" applyFont="1" applyFill="1" applyBorder="1"/>
    <xf numFmtId="0" fontId="13" fillId="2" borderId="0" xfId="0" applyFont="1" applyFill="1" applyAlignment="1">
      <alignment wrapText="1"/>
    </xf>
    <xf numFmtId="0" fontId="13" fillId="2" borderId="10" xfId="0" applyFont="1" applyFill="1" applyBorder="1" applyAlignment="1">
      <alignment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166" fontId="13" fillId="2" borderId="0" xfId="0" applyNumberFormat="1" applyFont="1" applyFill="1"/>
    <xf numFmtId="165" fontId="13" fillId="2" borderId="60" xfId="0" applyNumberFormat="1" applyFont="1" applyFill="1" applyBorder="1"/>
    <xf numFmtId="0" fontId="30" fillId="6" borderId="57" xfId="0" applyFont="1" applyFill="1" applyBorder="1"/>
    <xf numFmtId="0" fontId="13" fillId="2" borderId="0" xfId="0" applyFont="1" applyFill="1" applyAlignment="1">
      <alignment vertical="center"/>
    </xf>
    <xf numFmtId="165" fontId="13" fillId="2" borderId="0" xfId="0" applyNumberFormat="1" applyFont="1" applyFill="1" applyAlignment="1">
      <alignment vertical="center"/>
    </xf>
    <xf numFmtId="165" fontId="13" fillId="2" borderId="38" xfId="0" applyNumberFormat="1" applyFont="1" applyFill="1" applyBorder="1" applyAlignment="1">
      <alignment vertical="center"/>
    </xf>
    <xf numFmtId="0" fontId="30" fillId="6" borderId="61" xfId="0" applyFont="1" applyFill="1" applyBorder="1"/>
    <xf numFmtId="0" fontId="30" fillId="7" borderId="62" xfId="0" applyFont="1" applyFill="1" applyBorder="1"/>
    <xf numFmtId="0" fontId="30" fillId="7" borderId="63" xfId="0" applyFont="1" applyFill="1" applyBorder="1"/>
    <xf numFmtId="0" fontId="30" fillId="6" borderId="64" xfId="0" applyFont="1" applyFill="1" applyBorder="1"/>
    <xf numFmtId="0" fontId="30" fillId="7" borderId="65" xfId="0" applyFont="1" applyFill="1" applyBorder="1"/>
    <xf numFmtId="0" fontId="13" fillId="2" borderId="37" xfId="0" applyFont="1" applyFill="1" applyBorder="1" applyAlignment="1">
      <alignment vertical="center" wrapText="1"/>
    </xf>
    <xf numFmtId="0" fontId="13" fillId="2" borderId="17" xfId="0" applyFont="1" applyFill="1" applyBorder="1" applyAlignment="1">
      <alignment horizontal="left" wrapText="1"/>
    </xf>
    <xf numFmtId="166" fontId="13" fillId="2" borderId="3" xfId="0" applyNumberFormat="1" applyFont="1" applyFill="1" applyBorder="1" applyAlignment="1">
      <alignment horizontal="right"/>
    </xf>
    <xf numFmtId="166" fontId="13" fillId="2" borderId="2" xfId="0" applyNumberFormat="1" applyFont="1" applyFill="1" applyBorder="1" applyAlignment="1">
      <alignment horizontal="right"/>
    </xf>
    <xf numFmtId="0" fontId="7" fillId="0" borderId="5" xfId="0" applyFont="1" applyBorder="1" applyAlignment="1">
      <alignment wrapText="1"/>
    </xf>
    <xf numFmtId="0" fontId="30" fillId="3" borderId="5" xfId="0" applyFont="1" applyFill="1" applyBorder="1" applyAlignment="1">
      <alignment wrapText="1"/>
    </xf>
    <xf numFmtId="165" fontId="5" fillId="0" borderId="0" xfId="0" applyNumberFormat="1" applyFont="1"/>
    <xf numFmtId="0" fontId="22" fillId="0" borderId="6" xfId="0" applyFont="1" applyBorder="1"/>
    <xf numFmtId="0" fontId="22" fillId="0" borderId="6" xfId="0" applyFont="1" applyBorder="1" applyAlignment="1">
      <alignment horizontal="center"/>
    </xf>
    <xf numFmtId="0" fontId="34" fillId="2" borderId="2" xfId="0" applyFont="1" applyFill="1" applyBorder="1"/>
    <xf numFmtId="0" fontId="35" fillId="2" borderId="2" xfId="0" applyFont="1" applyFill="1" applyBorder="1"/>
    <xf numFmtId="0" fontId="11" fillId="2" borderId="2" xfId="0" applyFont="1" applyFill="1" applyBorder="1" applyAlignment="1">
      <alignment horizontal="center"/>
    </xf>
    <xf numFmtId="0" fontId="36" fillId="3" borderId="0" xfId="0" applyFont="1" applyFill="1"/>
    <xf numFmtId="0" fontId="36" fillId="3" borderId="0" xfId="0" applyFont="1" applyFill="1" applyAlignment="1">
      <alignment horizontal="center"/>
    </xf>
    <xf numFmtId="0" fontId="11" fillId="3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13" fillId="2" borderId="7" xfId="0" applyFont="1" applyFill="1" applyBorder="1" applyAlignment="1">
      <alignment horizontal="left"/>
    </xf>
    <xf numFmtId="0" fontId="13" fillId="3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0" fillId="3" borderId="0" xfId="0" applyFont="1" applyFill="1" applyAlignment="1">
      <alignment horizontal="center"/>
    </xf>
    <xf numFmtId="165" fontId="14" fillId="2" borderId="0" xfId="0" applyNumberFormat="1" applyFont="1" applyFill="1"/>
    <xf numFmtId="0" fontId="37" fillId="8" borderId="2" xfId="0" applyFont="1" applyFill="1" applyBorder="1" applyAlignment="1">
      <alignment wrapText="1"/>
    </xf>
    <xf numFmtId="0" fontId="37" fillId="8" borderId="2" xfId="0" applyFont="1" applyFill="1" applyBorder="1"/>
    <xf numFmtId="0" fontId="36" fillId="3" borderId="71" xfId="0" applyFont="1" applyFill="1" applyBorder="1"/>
    <xf numFmtId="0" fontId="1" fillId="0" borderId="0" xfId="0" applyFont="1"/>
    <xf numFmtId="166" fontId="14" fillId="2" borderId="2" xfId="0" applyNumberFormat="1" applyFont="1" applyFill="1" applyBorder="1"/>
    <xf numFmtId="0" fontId="11" fillId="2" borderId="7" xfId="0" applyFont="1" applyFill="1" applyBorder="1" applyAlignment="1">
      <alignment horizontal="left"/>
    </xf>
    <xf numFmtId="165" fontId="0" fillId="0" borderId="0" xfId="0" applyNumberFormat="1"/>
    <xf numFmtId="0" fontId="34" fillId="2" borderId="71" xfId="0" applyFont="1" applyFill="1" applyBorder="1"/>
    <xf numFmtId="0" fontId="13" fillId="2" borderId="7" xfId="0" applyFont="1" applyFill="1" applyBorder="1" applyAlignment="1">
      <alignment wrapText="1"/>
    </xf>
    <xf numFmtId="165" fontId="13" fillId="2" borderId="7" xfId="0" applyNumberFormat="1" applyFont="1" applyFill="1" applyBorder="1"/>
    <xf numFmtId="165" fontId="13" fillId="2" borderId="4" xfId="0" applyNumberFormat="1" applyFont="1" applyFill="1" applyBorder="1"/>
    <xf numFmtId="0" fontId="19" fillId="3" borderId="2" xfId="0" applyFont="1" applyFill="1" applyBorder="1" applyAlignment="1">
      <alignment wrapText="1"/>
    </xf>
    <xf numFmtId="166" fontId="13" fillId="2" borderId="2" xfId="0" applyNumberFormat="1" applyFont="1" applyFill="1" applyBorder="1"/>
    <xf numFmtId="0" fontId="13" fillId="3" borderId="7" xfId="0" applyFont="1" applyFill="1" applyBorder="1"/>
    <xf numFmtId="165" fontId="11" fillId="2" borderId="0" xfId="0" applyNumberFormat="1" applyFont="1" applyFill="1"/>
    <xf numFmtId="0" fontId="34" fillId="2" borderId="0" xfId="0" applyFont="1" applyFill="1" applyBorder="1"/>
    <xf numFmtId="0" fontId="11" fillId="2" borderId="2" xfId="0" applyFont="1" applyFill="1" applyBorder="1" applyAlignment="1">
      <alignment horizontal="right"/>
    </xf>
    <xf numFmtId="164" fontId="0" fillId="0" borderId="0" xfId="0" applyNumberFormat="1"/>
    <xf numFmtId="164" fontId="21" fillId="2" borderId="2" xfId="0" applyNumberFormat="1" applyFont="1" applyFill="1" applyBorder="1" applyAlignment="1">
      <alignment horizontal="center" vertical="center"/>
    </xf>
    <xf numFmtId="164" fontId="26" fillId="3" borderId="1" xfId="0" applyNumberFormat="1" applyFont="1" applyFill="1" applyBorder="1" applyAlignment="1">
      <alignment horizontal="center" vertical="center"/>
    </xf>
    <xf numFmtId="164" fontId="21" fillId="2" borderId="4" xfId="0" applyNumberFormat="1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4" fillId="2" borderId="2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8" fontId="17" fillId="3" borderId="1" xfId="0" applyNumberFormat="1" applyFont="1" applyFill="1" applyBorder="1" applyAlignment="1">
      <alignment horizontal="center" vertical="center"/>
    </xf>
    <xf numFmtId="168" fontId="14" fillId="2" borderId="2" xfId="0" applyNumberFormat="1" applyFont="1" applyFill="1" applyBorder="1" applyAlignment="1">
      <alignment horizontal="center" vertical="center"/>
    </xf>
    <xf numFmtId="168" fontId="14" fillId="2" borderId="4" xfId="0" applyNumberFormat="1" applyFont="1" applyFill="1" applyBorder="1" applyAlignment="1">
      <alignment horizontal="center" vertical="center"/>
    </xf>
    <xf numFmtId="168" fontId="21" fillId="2" borderId="2" xfId="0" applyNumberFormat="1" applyFont="1" applyFill="1" applyBorder="1" applyAlignment="1">
      <alignment horizontal="center" vertical="center"/>
    </xf>
    <xf numFmtId="168" fontId="14" fillId="2" borderId="2" xfId="0" quotePrefix="1" applyNumberFormat="1" applyFont="1" applyFill="1" applyBorder="1" applyAlignment="1">
      <alignment horizontal="center" vertical="center"/>
    </xf>
    <xf numFmtId="168" fontId="11" fillId="2" borderId="2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3" fontId="16" fillId="2" borderId="2" xfId="0" applyNumberFormat="1" applyFont="1" applyFill="1" applyBorder="1" applyAlignment="1">
      <alignment horizontal="left"/>
    </xf>
    <xf numFmtId="0" fontId="16" fillId="2" borderId="2" xfId="0" applyFont="1" applyFill="1" applyBorder="1"/>
    <xf numFmtId="0" fontId="16" fillId="2" borderId="2" xfId="0" applyFont="1" applyFill="1" applyBorder="1" applyAlignment="1">
      <alignment horizontal="left"/>
    </xf>
    <xf numFmtId="2" fontId="16" fillId="2" borderId="2" xfId="0" applyNumberFormat="1" applyFont="1" applyFill="1" applyBorder="1"/>
    <xf numFmtId="0" fontId="17" fillId="3" borderId="2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5" borderId="30" xfId="0" applyFont="1" applyFill="1" applyBorder="1" applyAlignment="1">
      <alignment horizontal="center"/>
    </xf>
    <xf numFmtId="0" fontId="13" fillId="5" borderId="3" xfId="0" applyFont="1" applyFill="1" applyBorder="1" applyAlignment="1">
      <alignment horizontal="center"/>
    </xf>
    <xf numFmtId="0" fontId="13" fillId="5" borderId="66" xfId="0" applyFont="1" applyFill="1" applyBorder="1" applyAlignment="1">
      <alignment horizontal="center"/>
    </xf>
    <xf numFmtId="0" fontId="13" fillId="5" borderId="55" xfId="0" applyFont="1" applyFill="1" applyBorder="1" applyAlignment="1">
      <alignment horizontal="center"/>
    </xf>
    <xf numFmtId="0" fontId="13" fillId="5" borderId="67" xfId="0" applyFont="1" applyFill="1" applyBorder="1" applyAlignment="1">
      <alignment horizontal="center"/>
    </xf>
    <xf numFmtId="0" fontId="13" fillId="2" borderId="68" xfId="0" applyFont="1" applyFill="1" applyBorder="1" applyAlignment="1">
      <alignment horizontal="center" vertical="center" wrapText="1"/>
    </xf>
    <xf numFmtId="0" fontId="13" fillId="2" borderId="69" xfId="0" applyFont="1" applyFill="1" applyBorder="1" applyAlignment="1">
      <alignment horizontal="center" vertical="center" wrapText="1"/>
    </xf>
    <xf numFmtId="0" fontId="13" fillId="2" borderId="70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wrapText="1"/>
    </xf>
    <xf numFmtId="0" fontId="13" fillId="2" borderId="15" xfId="0" applyFont="1" applyFill="1" applyBorder="1" applyAlignment="1">
      <alignment horizontal="center" wrapText="1"/>
    </xf>
    <xf numFmtId="0" fontId="13" fillId="2" borderId="16" xfId="0" applyFont="1" applyFill="1" applyBorder="1" applyAlignment="1">
      <alignment horizontal="center" wrapText="1"/>
    </xf>
    <xf numFmtId="0" fontId="13" fillId="2" borderId="19" xfId="0" applyFont="1" applyFill="1" applyBorder="1" applyAlignment="1">
      <alignment horizontal="center" wrapText="1"/>
    </xf>
    <xf numFmtId="0" fontId="13" fillId="2" borderId="5" xfId="0" applyFont="1" applyFill="1" applyBorder="1" applyAlignment="1">
      <alignment horizontal="center" wrapText="1"/>
    </xf>
    <xf numFmtId="0" fontId="13" fillId="2" borderId="20" xfId="0" applyFont="1" applyFill="1" applyBorder="1" applyAlignment="1">
      <alignment horizontal="center" wrapText="1"/>
    </xf>
    <xf numFmtId="0" fontId="13" fillId="5" borderId="1" xfId="0" applyFont="1" applyFill="1" applyBorder="1" applyAlignment="1">
      <alignment horizontal="center"/>
    </xf>
    <xf numFmtId="0" fontId="13" fillId="2" borderId="1" xfId="0" applyFont="1" applyFill="1" applyBorder="1"/>
    <xf numFmtId="0" fontId="13" fillId="2" borderId="41" xfId="0" applyFont="1" applyFill="1" applyBorder="1" applyAlignment="1">
      <alignment horizontal="center" wrapText="1"/>
    </xf>
    <xf numFmtId="0" fontId="13" fillId="2" borderId="42" xfId="0" applyFont="1" applyFill="1" applyBorder="1" applyAlignment="1">
      <alignment wrapText="1"/>
    </xf>
    <xf numFmtId="0" fontId="13" fillId="2" borderId="43" xfId="0" applyFont="1" applyFill="1" applyBorder="1" applyAlignment="1">
      <alignment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vertical="center" wrapText="1"/>
    </xf>
    <xf numFmtId="0" fontId="13" fillId="2" borderId="43" xfId="0" applyFont="1" applyFill="1" applyBorder="1" applyAlignment="1">
      <alignment vertical="center" wrapText="1"/>
    </xf>
    <xf numFmtId="0" fontId="13" fillId="5" borderId="10" xfId="0" applyFont="1" applyFill="1" applyBorder="1" applyAlignment="1">
      <alignment horizontal="center"/>
    </xf>
    <xf numFmtId="0" fontId="13" fillId="2" borderId="11" xfId="0" applyFont="1" applyFill="1" applyBorder="1"/>
    <xf numFmtId="0" fontId="13" fillId="2" borderId="35" xfId="0" applyFont="1" applyFill="1" applyBorder="1"/>
    <xf numFmtId="0" fontId="13" fillId="5" borderId="40" xfId="0" applyFont="1" applyFill="1" applyBorder="1" applyAlignment="1">
      <alignment horizontal="center"/>
    </xf>
    <xf numFmtId="0" fontId="13" fillId="2" borderId="58" xfId="0" applyFont="1" applyFill="1" applyBorder="1"/>
    <xf numFmtId="0" fontId="13" fillId="2" borderId="30" xfId="0" applyFont="1" applyFill="1" applyBorder="1"/>
    <xf numFmtId="0" fontId="13" fillId="2" borderId="3" xfId="0" applyFont="1" applyFill="1" applyBorder="1"/>
    <xf numFmtId="0" fontId="13" fillId="5" borderId="44" xfId="0" applyFont="1" applyFill="1" applyBorder="1" applyAlignment="1">
      <alignment horizontal="center"/>
    </xf>
    <xf numFmtId="0" fontId="13" fillId="2" borderId="45" xfId="0" applyFont="1" applyFill="1" applyBorder="1"/>
    <xf numFmtId="0" fontId="13" fillId="2" borderId="16" xfId="0" applyFont="1" applyFill="1" applyBorder="1"/>
    <xf numFmtId="0" fontId="13" fillId="2" borderId="9" xfId="0" applyFont="1" applyFill="1" applyBorder="1" applyAlignment="1">
      <alignment horizontal="center" wrapText="1"/>
    </xf>
    <xf numFmtId="0" fontId="13" fillId="2" borderId="30" xfId="0" applyFont="1" applyFill="1" applyBorder="1" applyAlignment="1">
      <alignment wrapText="1"/>
    </xf>
    <xf numFmtId="0" fontId="13" fillId="2" borderId="3" xfId="0" applyFont="1" applyFill="1" applyBorder="1" applyAlignment="1">
      <alignment wrapText="1"/>
    </xf>
    <xf numFmtId="0" fontId="13" fillId="2" borderId="9" xfId="0" applyFont="1" applyFill="1" applyBorder="1" applyAlignment="1">
      <alignment horizontal="left" wrapText="1"/>
    </xf>
    <xf numFmtId="0" fontId="13" fillId="2" borderId="30" xfId="0" applyFont="1" applyFill="1" applyBorder="1" applyAlignment="1">
      <alignment horizontal="left" wrapText="1"/>
    </xf>
    <xf numFmtId="0" fontId="13" fillId="2" borderId="3" xfId="0" applyFont="1" applyFill="1" applyBorder="1" applyAlignment="1">
      <alignment horizontal="left" wrapText="1"/>
    </xf>
    <xf numFmtId="0" fontId="13" fillId="2" borderId="55" xfId="0" applyFont="1" applyFill="1" applyBorder="1" applyAlignment="1">
      <alignment horizontal="center" wrapText="1"/>
    </xf>
    <xf numFmtId="0" fontId="13" fillId="2" borderId="55" xfId="0" applyFont="1" applyFill="1" applyBorder="1" applyAlignment="1">
      <alignment wrapText="1"/>
    </xf>
    <xf numFmtId="0" fontId="13" fillId="2" borderId="56" xfId="0" applyFont="1" applyFill="1" applyBorder="1" applyAlignment="1">
      <alignment wrapText="1"/>
    </xf>
    <xf numFmtId="0" fontId="13" fillId="2" borderId="5" xfId="0" applyFont="1" applyFill="1" applyBorder="1" applyAlignment="1">
      <alignment wrapText="1"/>
    </xf>
    <xf numFmtId="0" fontId="13" fillId="2" borderId="20" xfId="0" applyFont="1" applyFill="1" applyBorder="1" applyAlignment="1">
      <alignment wrapText="1"/>
    </xf>
    <xf numFmtId="0" fontId="13" fillId="5" borderId="8" xfId="0" applyFont="1" applyFill="1" applyBorder="1" applyAlignment="1">
      <alignment horizontal="center"/>
    </xf>
    <xf numFmtId="0" fontId="13" fillId="2" borderId="15" xfId="0" applyFont="1" applyFill="1" applyBorder="1"/>
    <xf numFmtId="0" fontId="13" fillId="2" borderId="27" xfId="0" applyFont="1" applyFill="1" applyBorder="1" applyAlignment="1">
      <alignment horizontal="center" wrapText="1"/>
    </xf>
    <xf numFmtId="0" fontId="13" fillId="2" borderId="28" xfId="0" applyFont="1" applyFill="1" applyBorder="1" applyAlignment="1">
      <alignment horizontal="center" wrapText="1"/>
    </xf>
    <xf numFmtId="0" fontId="13" fillId="2" borderId="29" xfId="0" applyFont="1" applyFill="1" applyBorder="1" applyAlignment="1">
      <alignment horizontal="center" wrapText="1"/>
    </xf>
    <xf numFmtId="0" fontId="13" fillId="2" borderId="30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wrapText="1"/>
    </xf>
    <xf numFmtId="0" fontId="13" fillId="5" borderId="8" xfId="0" applyFont="1" applyFill="1" applyBorder="1" applyAlignment="1">
      <alignment horizontal="center" wrapText="1"/>
    </xf>
    <xf numFmtId="0" fontId="31" fillId="4" borderId="0" xfId="0" applyFont="1" applyFill="1" applyAlignment="1">
      <alignment horizontal="center"/>
    </xf>
    <xf numFmtId="0" fontId="32" fillId="0" borderId="0" xfId="0" applyFont="1"/>
    <xf numFmtId="0" fontId="13" fillId="2" borderId="0" xfId="0" applyFont="1" applyFill="1" applyAlignment="1">
      <alignment horizontal="center" wrapText="1"/>
    </xf>
    <xf numFmtId="0" fontId="13" fillId="2" borderId="0" xfId="0" applyFont="1" applyFill="1" applyAlignment="1">
      <alignment wrapText="1"/>
    </xf>
    <xf numFmtId="0" fontId="13" fillId="2" borderId="18" xfId="0" applyFont="1" applyFill="1" applyBorder="1" applyAlignment="1">
      <alignment wrapText="1"/>
    </xf>
    <xf numFmtId="0" fontId="13" fillId="2" borderId="5" xfId="0" applyFont="1" applyFill="1" applyBorder="1" applyAlignment="1">
      <alignment horizontal="center"/>
    </xf>
    <xf numFmtId="0" fontId="13" fillId="2" borderId="5" xfId="0" applyFont="1" applyFill="1" applyBorder="1"/>
    <xf numFmtId="0" fontId="13" fillId="2" borderId="20" xfId="0" applyFont="1" applyFill="1" applyBorder="1"/>
  </cellXfs>
  <cellStyles count="4">
    <cellStyle name="Moneda" xfId="3" builtinId="4"/>
    <cellStyle name="Normal" xfId="0" builtinId="0"/>
    <cellStyle name="Normal 2" xfId="2" xr:uid="{00000000-0005-0000-0000-000002000000}"/>
    <cellStyle name="Normal 3" xfId="1" xr:uid="{00000000-0005-0000-0000-000003000000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3A548"/>
      <color rgb="FF1C26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ls/Desktop/lovo%20drinks/Cocteles/EL%20LOBO/PRODUCCIONES%20LOV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ls/Desktop/lovo%20drinks/Cocteles/EL%20LOBO/Escandallos%20LOV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lovob/Downloads/Escandallos%20LO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CIONES"/>
      <sheetName val="LISTADO PRODUCCION"/>
      <sheetName val="PREBATCH CAZA"/>
      <sheetName val="PREBATCH CUEVA"/>
      <sheetName val="FICHAS TECNICAS"/>
      <sheetName val="FICHAS TECNICAS CUEVA"/>
      <sheetName val="PREBATCH CARTA EFIMERA"/>
      <sheetName val="FICHAS CARTA EFIMERA"/>
      <sheetName val="PRODUS KETEL ON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OS"/>
      <sheetName val="TABLA PRECIOS"/>
      <sheetName val="ESCANDALLOS CAZA"/>
      <sheetName val="ESCANDALLOS CUEVA"/>
      <sheetName val="Producciones"/>
      <sheetName val="Ficha tecnica sala"/>
      <sheetName val="FICHAS TECNICAS "/>
      <sheetName val="MIX DESTILADOS"/>
    </sheetNames>
    <sheetDataSet>
      <sheetData sheetId="0"/>
      <sheetData sheetId="1"/>
      <sheetData sheetId="2"/>
      <sheetData sheetId="3"/>
      <sheetData sheetId="4">
        <row r="133">
          <cell r="F133">
            <v>2.6166666666666667</v>
          </cell>
        </row>
        <row r="178">
          <cell r="F178">
            <v>8.5638571428571435</v>
          </cell>
        </row>
      </sheetData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OS"/>
      <sheetName val="ESCANDALLOS CAZA"/>
      <sheetName val="ESCANDALLOS CUEVA"/>
      <sheetName val="Producciones"/>
      <sheetName val="Ficha tecnica sala"/>
      <sheetName val="FICHAS TECNICAS BARRA"/>
      <sheetName val="PEDIDOS"/>
      <sheetName val="Hoja2"/>
    </sheetNames>
    <sheetDataSet>
      <sheetData sheetId="0">
        <row r="11">
          <cell r="J11">
            <v>1.65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J482"/>
  <sheetViews>
    <sheetView topLeftCell="A35" zoomScale="113" workbookViewId="0">
      <selection activeCell="B255" sqref="B255"/>
    </sheetView>
  </sheetViews>
  <sheetFormatPr defaultColWidth="11.765625" defaultRowHeight="13.5" x14ac:dyDescent="0.15"/>
  <cols>
    <col min="1" max="1" width="3.5546875" customWidth="1"/>
    <col min="2" max="2" width="37.14453125" bestFit="1" customWidth="1"/>
    <col min="3" max="3" width="11.15234375" style="13"/>
    <col min="4" max="4" width="11.15234375" style="5"/>
    <col min="7" max="7" width="23.16796875" bestFit="1" customWidth="1"/>
    <col min="8" max="8" width="11.15234375" style="14"/>
  </cols>
  <sheetData>
    <row r="1" spans="2:10" ht="15" x14ac:dyDescent="0.2">
      <c r="B1" s="57" t="s">
        <v>0</v>
      </c>
      <c r="C1" s="57" t="s">
        <v>1</v>
      </c>
      <c r="D1" s="72" t="s">
        <v>2</v>
      </c>
      <c r="G1" s="53" t="s">
        <v>0</v>
      </c>
      <c r="H1" s="54" t="s">
        <v>1</v>
      </c>
      <c r="I1" s="55" t="s">
        <v>63</v>
      </c>
      <c r="J1" s="55" t="s">
        <v>64</v>
      </c>
    </row>
    <row r="2" spans="2:10" ht="15" x14ac:dyDescent="0.2">
      <c r="B2" s="11" t="s">
        <v>219</v>
      </c>
      <c r="C2" s="25"/>
      <c r="D2" s="73">
        <v>27.91</v>
      </c>
      <c r="G2" s="74"/>
      <c r="H2" s="75"/>
      <c r="I2" s="76"/>
      <c r="J2" s="76"/>
    </row>
    <row r="3" spans="2:10" ht="15" x14ac:dyDescent="0.2">
      <c r="B3" s="11" t="s">
        <v>220</v>
      </c>
      <c r="C3" s="25"/>
      <c r="D3" s="73">
        <v>24.84</v>
      </c>
      <c r="G3" s="69" t="s">
        <v>221</v>
      </c>
      <c r="H3" s="69" t="s">
        <v>222</v>
      </c>
      <c r="I3" s="77">
        <v>1.1000000000000001</v>
      </c>
      <c r="J3" s="69"/>
    </row>
    <row r="4" spans="2:10" ht="15" x14ac:dyDescent="0.2">
      <c r="B4" s="11" t="s">
        <v>223</v>
      </c>
      <c r="C4" s="25"/>
      <c r="D4" s="73">
        <v>30.8</v>
      </c>
      <c r="G4" s="69" t="s">
        <v>224</v>
      </c>
      <c r="H4" s="69" t="s">
        <v>222</v>
      </c>
      <c r="I4" s="77">
        <v>1.1000000000000001</v>
      </c>
      <c r="J4" s="69"/>
    </row>
    <row r="5" spans="2:10" ht="15" x14ac:dyDescent="0.2">
      <c r="B5" s="11"/>
      <c r="C5" s="25"/>
      <c r="D5" s="73"/>
      <c r="G5" s="69" t="s">
        <v>225</v>
      </c>
      <c r="H5" s="69" t="s">
        <v>222</v>
      </c>
      <c r="I5" s="77">
        <v>2.95</v>
      </c>
      <c r="J5" s="69"/>
    </row>
    <row r="6" spans="2:10" ht="15" x14ac:dyDescent="0.2">
      <c r="B6" s="58" t="s">
        <v>91</v>
      </c>
      <c r="C6" s="25"/>
      <c r="D6" s="73">
        <v>1.0129999999999999</v>
      </c>
      <c r="G6" s="69" t="s">
        <v>226</v>
      </c>
      <c r="H6" s="69" t="s">
        <v>227</v>
      </c>
      <c r="I6" s="77">
        <v>3.95</v>
      </c>
      <c r="J6" s="69"/>
    </row>
    <row r="7" spans="2:10" ht="15" x14ac:dyDescent="0.2">
      <c r="B7" s="58" t="s">
        <v>90</v>
      </c>
      <c r="C7" s="25"/>
      <c r="D7" s="73">
        <v>0.7</v>
      </c>
      <c r="G7" s="69" t="s">
        <v>228</v>
      </c>
      <c r="H7" s="69" t="s">
        <v>222</v>
      </c>
      <c r="I7" s="77">
        <v>6.95</v>
      </c>
      <c r="J7" s="69"/>
    </row>
    <row r="8" spans="2:10" ht="15" x14ac:dyDescent="0.2">
      <c r="B8" s="58"/>
      <c r="C8" s="25"/>
      <c r="D8" s="73"/>
      <c r="G8" s="69" t="s">
        <v>229</v>
      </c>
      <c r="H8" s="69" t="s">
        <v>230</v>
      </c>
      <c r="I8" s="77">
        <v>19.5</v>
      </c>
      <c r="J8" s="69"/>
    </row>
    <row r="9" spans="2:10" ht="15" x14ac:dyDescent="0.2">
      <c r="B9" s="27" t="s">
        <v>231</v>
      </c>
      <c r="C9" s="25"/>
      <c r="D9" s="73">
        <v>8.82</v>
      </c>
      <c r="G9" s="69" t="s">
        <v>232</v>
      </c>
      <c r="H9" s="69" t="s">
        <v>233</v>
      </c>
      <c r="I9" s="77">
        <v>1.5</v>
      </c>
      <c r="J9" s="69"/>
    </row>
    <row r="10" spans="2:10" ht="15" x14ac:dyDescent="0.2">
      <c r="B10" s="67" t="s">
        <v>68</v>
      </c>
      <c r="C10" s="78"/>
      <c r="D10" s="79">
        <v>15</v>
      </c>
      <c r="G10" s="69" t="s">
        <v>234</v>
      </c>
      <c r="H10" s="69" t="s">
        <v>222</v>
      </c>
      <c r="I10" s="77">
        <v>1.65</v>
      </c>
      <c r="J10" s="69"/>
    </row>
    <row r="11" spans="2:10" ht="15" x14ac:dyDescent="0.2">
      <c r="B11" s="68" t="s">
        <v>27</v>
      </c>
      <c r="C11" s="78"/>
      <c r="D11" s="79">
        <v>12.6</v>
      </c>
      <c r="G11" s="69" t="s">
        <v>235</v>
      </c>
      <c r="H11" s="69" t="s">
        <v>236</v>
      </c>
      <c r="I11" s="77">
        <v>6.95</v>
      </c>
      <c r="J11" s="69"/>
    </row>
    <row r="12" spans="2:10" ht="15" x14ac:dyDescent="0.2">
      <c r="B12" s="68" t="s">
        <v>237</v>
      </c>
      <c r="C12" s="78"/>
      <c r="D12" s="79">
        <v>13.38</v>
      </c>
      <c r="G12" s="69" t="s">
        <v>238</v>
      </c>
      <c r="H12" s="69" t="s">
        <v>222</v>
      </c>
      <c r="I12" s="77">
        <v>2.95</v>
      </c>
      <c r="J12" s="69"/>
    </row>
    <row r="13" spans="2:10" ht="15" x14ac:dyDescent="0.2">
      <c r="B13" s="27" t="s">
        <v>82</v>
      </c>
      <c r="C13" s="25"/>
      <c r="D13" s="73">
        <v>21.8</v>
      </c>
      <c r="G13" s="69" t="s">
        <v>239</v>
      </c>
      <c r="H13" s="69" t="s">
        <v>240</v>
      </c>
      <c r="I13" s="77">
        <v>29.95</v>
      </c>
      <c r="J13" s="69"/>
    </row>
    <row r="14" spans="2:10" ht="15" x14ac:dyDescent="0.2">
      <c r="B14" s="11" t="s">
        <v>241</v>
      </c>
      <c r="C14" s="25"/>
      <c r="D14" s="73">
        <v>21.8</v>
      </c>
      <c r="G14" s="69" t="s">
        <v>242</v>
      </c>
      <c r="H14" s="69" t="s">
        <v>233</v>
      </c>
      <c r="I14" s="77">
        <v>2.5</v>
      </c>
      <c r="J14" s="69"/>
    </row>
    <row r="15" spans="2:10" ht="15" x14ac:dyDescent="0.2">
      <c r="B15" s="11" t="s">
        <v>176</v>
      </c>
      <c r="C15" s="25"/>
      <c r="D15" s="73">
        <v>20.3</v>
      </c>
      <c r="G15" s="69" t="s">
        <v>57</v>
      </c>
      <c r="H15" s="69" t="s">
        <v>227</v>
      </c>
      <c r="I15" s="77">
        <v>12.5</v>
      </c>
      <c r="J15" s="69"/>
    </row>
    <row r="16" spans="2:10" ht="15" x14ac:dyDescent="0.2">
      <c r="B16" s="11" t="s">
        <v>243</v>
      </c>
      <c r="C16" s="25"/>
      <c r="D16" s="73">
        <v>11.16</v>
      </c>
      <c r="G16" s="69" t="s">
        <v>244</v>
      </c>
      <c r="H16" s="69" t="s">
        <v>227</v>
      </c>
      <c r="I16" s="77">
        <v>4.95</v>
      </c>
      <c r="J16" s="69"/>
    </row>
    <row r="17" spans="2:10" ht="15" x14ac:dyDescent="0.2">
      <c r="B17" s="11"/>
      <c r="C17" s="25"/>
      <c r="D17" s="73"/>
      <c r="G17" s="69" t="s">
        <v>245</v>
      </c>
      <c r="H17" s="69" t="s">
        <v>222</v>
      </c>
      <c r="I17" s="77">
        <v>9.9499999999999993</v>
      </c>
      <c r="J17" s="69"/>
    </row>
    <row r="18" spans="2:10" ht="15" x14ac:dyDescent="0.2">
      <c r="B18" s="11" t="s">
        <v>246</v>
      </c>
      <c r="C18" s="25"/>
      <c r="D18" s="73">
        <v>10.11</v>
      </c>
      <c r="G18" s="69" t="s">
        <v>247</v>
      </c>
      <c r="H18" s="69" t="s">
        <v>248</v>
      </c>
      <c r="I18" s="77">
        <v>1.85</v>
      </c>
      <c r="J18" s="69"/>
    </row>
    <row r="19" spans="2:10" ht="15" x14ac:dyDescent="0.2">
      <c r="B19" s="11" t="s">
        <v>249</v>
      </c>
      <c r="C19" s="25"/>
      <c r="D19" s="73">
        <v>8.9499999999999993</v>
      </c>
      <c r="G19" s="69" t="s">
        <v>250</v>
      </c>
      <c r="H19" s="69" t="s">
        <v>222</v>
      </c>
      <c r="I19" s="77">
        <v>7.5</v>
      </c>
      <c r="J19" s="69"/>
    </row>
    <row r="20" spans="2:10" ht="15" x14ac:dyDescent="0.2">
      <c r="B20" s="11" t="s">
        <v>251</v>
      </c>
      <c r="C20" s="25"/>
      <c r="D20" s="73">
        <v>8.48</v>
      </c>
      <c r="G20" s="69" t="s">
        <v>252</v>
      </c>
      <c r="H20" s="69" t="s">
        <v>222</v>
      </c>
      <c r="I20" s="77">
        <v>1</v>
      </c>
      <c r="J20" s="69"/>
    </row>
    <row r="21" spans="2:10" ht="15" x14ac:dyDescent="0.2">
      <c r="B21" s="11" t="s">
        <v>253</v>
      </c>
      <c r="C21" s="25"/>
      <c r="D21" s="73">
        <v>11.24</v>
      </c>
      <c r="G21" s="69" t="s">
        <v>811</v>
      </c>
      <c r="H21" s="69" t="s">
        <v>812</v>
      </c>
      <c r="I21" s="77">
        <v>3.95</v>
      </c>
      <c r="J21" s="69"/>
    </row>
    <row r="22" spans="2:10" ht="15" x14ac:dyDescent="0.2">
      <c r="B22" s="27" t="s">
        <v>254</v>
      </c>
      <c r="C22" s="25"/>
      <c r="D22" s="73">
        <v>8.48</v>
      </c>
      <c r="G22" s="69" t="s">
        <v>255</v>
      </c>
      <c r="H22" s="69" t="s">
        <v>227</v>
      </c>
      <c r="I22" s="77">
        <v>2</v>
      </c>
      <c r="J22" s="69"/>
    </row>
    <row r="23" spans="2:10" ht="15" x14ac:dyDescent="0.2">
      <c r="B23" s="27"/>
      <c r="C23" s="25"/>
      <c r="D23" s="73"/>
      <c r="G23" s="69" t="s">
        <v>256</v>
      </c>
      <c r="H23" s="69" t="s">
        <v>257</v>
      </c>
      <c r="I23" s="77">
        <v>1.62</v>
      </c>
      <c r="J23" s="69"/>
    </row>
    <row r="24" spans="2:10" ht="15" x14ac:dyDescent="0.2">
      <c r="B24" s="59" t="s">
        <v>6</v>
      </c>
      <c r="C24" s="25"/>
      <c r="D24" s="73">
        <v>15.5</v>
      </c>
      <c r="G24" s="69"/>
      <c r="H24" s="69"/>
      <c r="I24" s="77"/>
      <c r="J24" s="69"/>
    </row>
    <row r="25" spans="2:10" ht="15" x14ac:dyDescent="0.2">
      <c r="B25" s="23" t="s">
        <v>10</v>
      </c>
      <c r="C25" s="25"/>
      <c r="D25" s="73">
        <v>42.25</v>
      </c>
      <c r="G25" s="69"/>
      <c r="H25" s="69"/>
      <c r="I25" s="77"/>
      <c r="J25" s="69"/>
    </row>
    <row r="26" spans="2:10" ht="15" x14ac:dyDescent="0.2">
      <c r="B26" s="23"/>
      <c r="C26" s="25"/>
      <c r="D26" s="73"/>
      <c r="G26" s="69"/>
      <c r="H26" s="69"/>
      <c r="I26" s="77"/>
      <c r="J26" s="69"/>
    </row>
    <row r="27" spans="2:10" ht="15" x14ac:dyDescent="0.2">
      <c r="B27" s="23" t="s">
        <v>258</v>
      </c>
      <c r="C27" s="25"/>
      <c r="D27" s="73">
        <v>12.99</v>
      </c>
      <c r="G27" s="69"/>
      <c r="H27" s="69"/>
      <c r="I27" s="77"/>
      <c r="J27" s="69"/>
    </row>
    <row r="28" spans="2:10" ht="15" x14ac:dyDescent="0.2">
      <c r="B28" s="23" t="s">
        <v>259</v>
      </c>
      <c r="C28" s="25"/>
      <c r="D28" s="73">
        <v>12.3</v>
      </c>
      <c r="G28" s="69"/>
      <c r="H28" s="69"/>
      <c r="I28" s="77"/>
      <c r="J28" s="69"/>
    </row>
    <row r="29" spans="2:10" ht="15" x14ac:dyDescent="0.2">
      <c r="B29" s="23" t="s">
        <v>260</v>
      </c>
      <c r="C29" s="25"/>
      <c r="D29" s="73">
        <v>9.17</v>
      </c>
      <c r="G29" s="69"/>
      <c r="H29" s="69"/>
      <c r="I29" s="77"/>
      <c r="J29" s="69"/>
    </row>
    <row r="30" spans="2:10" ht="15" x14ac:dyDescent="0.2">
      <c r="B30" s="23" t="s">
        <v>261</v>
      </c>
      <c r="C30" s="25"/>
      <c r="D30" s="73">
        <v>10.58</v>
      </c>
      <c r="G30" s="69" t="s">
        <v>262</v>
      </c>
      <c r="H30" s="69">
        <v>10</v>
      </c>
      <c r="I30" s="77">
        <v>2</v>
      </c>
      <c r="J30" s="56">
        <f>H30*I30</f>
        <v>20</v>
      </c>
    </row>
    <row r="31" spans="2:10" ht="15" x14ac:dyDescent="0.2">
      <c r="B31" s="11" t="s">
        <v>263</v>
      </c>
      <c r="C31" s="25"/>
      <c r="D31" s="73">
        <v>9.8699999999999992</v>
      </c>
      <c r="G31" s="69" t="s">
        <v>264</v>
      </c>
      <c r="H31" s="69">
        <v>40</v>
      </c>
      <c r="I31" s="77">
        <v>2.8</v>
      </c>
      <c r="J31" s="56">
        <f t="shared" ref="J31:J44" si="0">H31*I31</f>
        <v>112</v>
      </c>
    </row>
    <row r="32" spans="2:10" ht="15" x14ac:dyDescent="0.2">
      <c r="B32" s="11" t="s">
        <v>265</v>
      </c>
      <c r="C32" s="25"/>
      <c r="D32" s="73">
        <v>9.1199999999999992</v>
      </c>
      <c r="G32" s="69" t="s">
        <v>266</v>
      </c>
      <c r="H32" s="69">
        <v>40</v>
      </c>
      <c r="I32" s="77">
        <v>2</v>
      </c>
      <c r="J32" s="56">
        <f t="shared" si="0"/>
        <v>80</v>
      </c>
    </row>
    <row r="33" spans="2:10" ht="15" x14ac:dyDescent="0.2">
      <c r="B33" s="11" t="s">
        <v>267</v>
      </c>
      <c r="C33" s="25"/>
      <c r="D33" s="73">
        <v>18.440000000000001</v>
      </c>
      <c r="G33" s="69" t="s">
        <v>268</v>
      </c>
      <c r="H33" s="69">
        <v>50</v>
      </c>
      <c r="I33" s="77">
        <v>3</v>
      </c>
      <c r="J33" s="56">
        <f t="shared" si="0"/>
        <v>150</v>
      </c>
    </row>
    <row r="34" spans="2:10" ht="15" x14ac:dyDescent="0.2">
      <c r="B34" s="11" t="s">
        <v>8</v>
      </c>
      <c r="C34" s="25"/>
      <c r="D34" s="73">
        <v>12.91</v>
      </c>
      <c r="G34" s="69" t="s">
        <v>269</v>
      </c>
      <c r="H34" s="69">
        <v>40</v>
      </c>
      <c r="I34" s="77">
        <v>3</v>
      </c>
      <c r="J34" s="56">
        <f t="shared" si="0"/>
        <v>120</v>
      </c>
    </row>
    <row r="35" spans="2:10" ht="15" x14ac:dyDescent="0.2">
      <c r="B35" s="11" t="s">
        <v>16</v>
      </c>
      <c r="C35" s="25"/>
      <c r="D35" s="73">
        <v>14.01</v>
      </c>
      <c r="G35" s="69" t="s">
        <v>270</v>
      </c>
      <c r="H35" s="69">
        <v>100</v>
      </c>
      <c r="I35" s="77">
        <v>8</v>
      </c>
      <c r="J35" s="56">
        <f t="shared" si="0"/>
        <v>800</v>
      </c>
    </row>
    <row r="36" spans="2:10" ht="15" x14ac:dyDescent="0.2">
      <c r="B36" s="59" t="s">
        <v>26</v>
      </c>
      <c r="C36" s="25"/>
      <c r="D36" s="73">
        <v>18.440000000000001</v>
      </c>
      <c r="G36" s="69" t="s">
        <v>271</v>
      </c>
      <c r="H36" s="69">
        <v>40</v>
      </c>
      <c r="I36" s="77">
        <v>3</v>
      </c>
      <c r="J36" s="56">
        <f t="shared" si="0"/>
        <v>120</v>
      </c>
    </row>
    <row r="37" spans="2:10" ht="15" x14ac:dyDescent="0.2">
      <c r="B37" s="59" t="s">
        <v>272</v>
      </c>
      <c r="C37" s="25"/>
      <c r="D37" s="73">
        <v>8.68</v>
      </c>
      <c r="G37" s="69"/>
      <c r="H37" s="69"/>
      <c r="I37" s="77"/>
      <c r="J37" s="56"/>
    </row>
    <row r="38" spans="2:10" ht="15" x14ac:dyDescent="0.2">
      <c r="B38" s="11" t="s">
        <v>273</v>
      </c>
      <c r="C38" s="25"/>
      <c r="D38" s="73">
        <v>7.07</v>
      </c>
      <c r="G38" s="69" t="s">
        <v>274</v>
      </c>
      <c r="H38" s="69">
        <v>100</v>
      </c>
      <c r="I38" s="77">
        <v>6</v>
      </c>
      <c r="J38" s="56">
        <f t="shared" si="0"/>
        <v>600</v>
      </c>
    </row>
    <row r="39" spans="2:10" ht="15" x14ac:dyDescent="0.2">
      <c r="B39" s="11" t="s">
        <v>275</v>
      </c>
      <c r="C39" s="25"/>
      <c r="D39" s="73">
        <v>22.86</v>
      </c>
      <c r="G39" s="69" t="s">
        <v>276</v>
      </c>
      <c r="H39" s="69">
        <v>30</v>
      </c>
      <c r="I39" s="77">
        <v>7.5</v>
      </c>
      <c r="J39" s="69">
        <f t="shared" si="0"/>
        <v>225</v>
      </c>
    </row>
    <row r="40" spans="2:10" ht="15" x14ac:dyDescent="0.2">
      <c r="B40" s="11" t="s">
        <v>22</v>
      </c>
      <c r="C40" s="25"/>
      <c r="D40" s="73">
        <v>18.66</v>
      </c>
      <c r="G40" s="69"/>
      <c r="H40" s="69"/>
      <c r="I40" s="77"/>
      <c r="J40" s="69">
        <f t="shared" si="0"/>
        <v>0</v>
      </c>
    </row>
    <row r="41" spans="2:10" ht="15" x14ac:dyDescent="0.2">
      <c r="B41" s="11" t="s">
        <v>20</v>
      </c>
      <c r="C41" s="25"/>
      <c r="D41" s="73">
        <v>19.48</v>
      </c>
      <c r="G41" s="69"/>
      <c r="H41" s="69"/>
      <c r="I41" s="77"/>
      <c r="J41" s="69">
        <f t="shared" si="0"/>
        <v>0</v>
      </c>
    </row>
    <row r="42" spans="2:10" ht="15" x14ac:dyDescent="0.2">
      <c r="B42" s="11" t="s">
        <v>277</v>
      </c>
      <c r="C42" s="25"/>
      <c r="D42" s="73">
        <v>28.98</v>
      </c>
      <c r="G42" s="69"/>
      <c r="H42" s="69"/>
      <c r="I42" s="69"/>
      <c r="J42" s="69">
        <f t="shared" si="0"/>
        <v>0</v>
      </c>
    </row>
    <row r="43" spans="2:10" ht="15" x14ac:dyDescent="0.2">
      <c r="B43" s="11" t="s">
        <v>9</v>
      </c>
      <c r="C43" s="25"/>
      <c r="D43" s="73">
        <v>17.600000000000001</v>
      </c>
      <c r="G43" s="69" t="s">
        <v>278</v>
      </c>
      <c r="H43" s="69">
        <v>1</v>
      </c>
      <c r="I43" s="69">
        <v>0.6</v>
      </c>
      <c r="J43" s="69">
        <f t="shared" si="0"/>
        <v>0.6</v>
      </c>
    </row>
    <row r="44" spans="2:10" ht="15" x14ac:dyDescent="0.2">
      <c r="B44" s="11" t="s">
        <v>18</v>
      </c>
      <c r="C44" s="25"/>
      <c r="D44" s="73">
        <v>13.39</v>
      </c>
      <c r="G44" s="69" t="s">
        <v>279</v>
      </c>
      <c r="H44" s="69">
        <v>1</v>
      </c>
      <c r="I44" s="69">
        <v>0.45</v>
      </c>
      <c r="J44" s="69">
        <f t="shared" si="0"/>
        <v>0.45</v>
      </c>
    </row>
    <row r="45" spans="2:10" ht="15" x14ac:dyDescent="0.2">
      <c r="B45" s="11"/>
      <c r="C45" s="25"/>
      <c r="D45" s="73"/>
      <c r="G45" s="69"/>
      <c r="H45" s="69"/>
      <c r="I45" s="77"/>
      <c r="J45" s="69"/>
    </row>
    <row r="46" spans="2:10" ht="15" x14ac:dyDescent="0.2">
      <c r="B46" s="11" t="s">
        <v>280</v>
      </c>
      <c r="C46" s="25"/>
      <c r="D46" s="73">
        <v>12.78</v>
      </c>
      <c r="G46" s="69"/>
      <c r="H46" s="69"/>
      <c r="I46" s="77"/>
      <c r="J46" s="69"/>
    </row>
    <row r="47" spans="2:10" ht="15" x14ac:dyDescent="0.2">
      <c r="B47" s="11" t="s">
        <v>281</v>
      </c>
      <c r="C47" s="25"/>
      <c r="D47" s="73">
        <v>10.14</v>
      </c>
      <c r="G47" s="69" t="s">
        <v>866</v>
      </c>
      <c r="H47" s="69" t="s">
        <v>222</v>
      </c>
      <c r="I47" s="77">
        <v>5.98</v>
      </c>
      <c r="J47" s="69"/>
    </row>
    <row r="48" spans="2:10" ht="15" x14ac:dyDescent="0.2">
      <c r="B48" s="11" t="s">
        <v>282</v>
      </c>
      <c r="C48" s="25"/>
      <c r="D48" s="73">
        <v>29.53</v>
      </c>
      <c r="G48" s="69" t="s">
        <v>867</v>
      </c>
      <c r="H48" s="69" t="s">
        <v>222</v>
      </c>
      <c r="I48" s="77">
        <v>4.5999999999999996</v>
      </c>
      <c r="J48" s="69"/>
    </row>
    <row r="49" spans="2:10" ht="15" x14ac:dyDescent="0.2">
      <c r="B49" s="11" t="s">
        <v>283</v>
      </c>
      <c r="C49" s="25"/>
      <c r="D49" s="73">
        <v>10.71</v>
      </c>
      <c r="G49" s="69"/>
      <c r="H49" s="69"/>
      <c r="I49" s="77"/>
      <c r="J49" s="69"/>
    </row>
    <row r="50" spans="2:10" ht="15" x14ac:dyDescent="0.2">
      <c r="B50" s="23" t="s">
        <v>69</v>
      </c>
      <c r="C50" s="25"/>
      <c r="D50" s="73">
        <v>25.58</v>
      </c>
      <c r="G50" s="69"/>
      <c r="H50" s="69"/>
      <c r="I50" s="77"/>
      <c r="J50" s="69"/>
    </row>
    <row r="51" spans="2:10" ht="15" x14ac:dyDescent="0.2">
      <c r="B51" s="59" t="s">
        <v>7</v>
      </c>
      <c r="C51" s="25"/>
      <c r="D51" s="73">
        <v>55.64</v>
      </c>
      <c r="G51" s="69"/>
      <c r="H51" s="69"/>
      <c r="I51" s="77"/>
      <c r="J51" s="69"/>
    </row>
    <row r="52" spans="2:10" ht="15" x14ac:dyDescent="0.2">
      <c r="B52" s="23" t="s">
        <v>84</v>
      </c>
      <c r="C52" s="25"/>
      <c r="D52" s="73">
        <v>20.3</v>
      </c>
      <c r="G52" s="69"/>
      <c r="H52" s="69"/>
      <c r="I52" s="77"/>
      <c r="J52" s="69"/>
    </row>
    <row r="53" spans="2:10" ht="15" x14ac:dyDescent="0.2">
      <c r="B53" s="23"/>
      <c r="C53" s="25"/>
      <c r="D53" s="73"/>
      <c r="G53" s="69"/>
      <c r="H53" s="69"/>
      <c r="I53" s="77"/>
      <c r="J53" s="69"/>
    </row>
    <row r="54" spans="2:10" ht="15" x14ac:dyDescent="0.2">
      <c r="B54" s="27" t="s">
        <v>132</v>
      </c>
      <c r="C54" s="25"/>
      <c r="D54" s="73">
        <v>17.91</v>
      </c>
      <c r="H54"/>
    </row>
    <row r="55" spans="2:10" ht="15" x14ac:dyDescent="0.2">
      <c r="B55" s="59" t="s">
        <v>11</v>
      </c>
      <c r="C55" s="25"/>
      <c r="D55" s="73">
        <v>47</v>
      </c>
      <c r="H55"/>
    </row>
    <row r="56" spans="2:10" ht="15" x14ac:dyDescent="0.2">
      <c r="B56" s="59"/>
      <c r="C56" s="25"/>
      <c r="D56" s="73"/>
      <c r="H56"/>
    </row>
    <row r="57" spans="2:10" ht="15" x14ac:dyDescent="0.2">
      <c r="B57" s="11" t="s">
        <v>284</v>
      </c>
      <c r="C57" s="25"/>
      <c r="D57" s="73">
        <v>6.17</v>
      </c>
      <c r="H57"/>
    </row>
    <row r="58" spans="2:10" ht="15" x14ac:dyDescent="0.2">
      <c r="B58" s="11" t="s">
        <v>285</v>
      </c>
      <c r="C58" s="25"/>
      <c r="D58" s="73">
        <v>6.95</v>
      </c>
      <c r="H58"/>
    </row>
    <row r="59" spans="2:10" ht="15" x14ac:dyDescent="0.2">
      <c r="B59" s="11"/>
      <c r="C59" s="25"/>
      <c r="D59" s="73"/>
      <c r="H59"/>
    </row>
    <row r="60" spans="2:10" ht="15" x14ac:dyDescent="0.2">
      <c r="B60" s="11" t="s">
        <v>94</v>
      </c>
      <c r="C60" s="25"/>
      <c r="D60" s="73">
        <v>1.56</v>
      </c>
      <c r="H60"/>
    </row>
    <row r="61" spans="2:10" ht="15" x14ac:dyDescent="0.2">
      <c r="B61" s="11" t="s">
        <v>80</v>
      </c>
      <c r="C61" s="25"/>
      <c r="D61" s="73">
        <v>1.08</v>
      </c>
      <c r="H61"/>
    </row>
    <row r="62" spans="2:10" ht="15" x14ac:dyDescent="0.2">
      <c r="B62" s="11"/>
      <c r="C62" s="25"/>
      <c r="D62" s="73"/>
      <c r="H62"/>
    </row>
    <row r="63" spans="2:10" ht="15" x14ac:dyDescent="0.2">
      <c r="B63" s="11" t="s">
        <v>286</v>
      </c>
      <c r="C63" s="25"/>
      <c r="D63" s="73">
        <v>10</v>
      </c>
      <c r="H63"/>
    </row>
    <row r="64" spans="2:10" ht="15" x14ac:dyDescent="0.2">
      <c r="B64" s="11" t="s">
        <v>287</v>
      </c>
      <c r="C64" s="25"/>
      <c r="D64" s="73">
        <v>27</v>
      </c>
      <c r="H64"/>
    </row>
    <row r="65" spans="2:8" ht="15" x14ac:dyDescent="0.2">
      <c r="B65" s="11" t="s">
        <v>215</v>
      </c>
      <c r="C65" s="25"/>
      <c r="D65" s="73">
        <v>28.42</v>
      </c>
      <c r="H65"/>
    </row>
    <row r="66" spans="2:8" ht="15" x14ac:dyDescent="0.2">
      <c r="B66" s="11" t="s">
        <v>288</v>
      </c>
      <c r="C66" s="25"/>
      <c r="D66" s="73">
        <v>27</v>
      </c>
      <c r="H66"/>
    </row>
    <row r="67" spans="2:8" ht="15" x14ac:dyDescent="0.2">
      <c r="B67" s="61" t="s">
        <v>289</v>
      </c>
      <c r="C67" s="25"/>
      <c r="D67" s="73">
        <v>278.89999999999998</v>
      </c>
      <c r="H67"/>
    </row>
    <row r="68" spans="2:8" ht="15" x14ac:dyDescent="0.2">
      <c r="B68" s="61" t="s">
        <v>290</v>
      </c>
      <c r="C68" s="25"/>
      <c r="D68" s="73">
        <v>124.62</v>
      </c>
      <c r="H68"/>
    </row>
    <row r="69" spans="2:8" ht="15" x14ac:dyDescent="0.2">
      <c r="B69" s="61" t="s">
        <v>291</v>
      </c>
      <c r="C69" s="25"/>
      <c r="D69" s="73"/>
      <c r="H69"/>
    </row>
    <row r="70" spans="2:8" ht="15" x14ac:dyDescent="0.2">
      <c r="B70" s="27" t="s">
        <v>292</v>
      </c>
      <c r="C70" s="25"/>
      <c r="D70" s="73">
        <v>55.33</v>
      </c>
      <c r="H70"/>
    </row>
    <row r="71" spans="2:8" ht="15" x14ac:dyDescent="0.2">
      <c r="B71" s="27" t="s">
        <v>293</v>
      </c>
      <c r="C71" s="25"/>
      <c r="D71" s="73">
        <v>55</v>
      </c>
      <c r="H71"/>
    </row>
    <row r="72" spans="2:8" ht="15" x14ac:dyDescent="0.2">
      <c r="B72" s="61" t="s">
        <v>168</v>
      </c>
      <c r="C72" s="25"/>
      <c r="D72" s="73">
        <v>34.130000000000003</v>
      </c>
      <c r="H72"/>
    </row>
    <row r="73" spans="2:8" ht="15" x14ac:dyDescent="0.2">
      <c r="B73" s="11" t="s">
        <v>294</v>
      </c>
      <c r="C73" s="25"/>
      <c r="D73" s="73">
        <v>39.6</v>
      </c>
      <c r="H73"/>
    </row>
    <row r="74" spans="2:8" ht="15" x14ac:dyDescent="0.2">
      <c r="B74" s="11" t="s">
        <v>295</v>
      </c>
      <c r="C74" s="25"/>
      <c r="D74" s="73">
        <v>72.67</v>
      </c>
      <c r="H74"/>
    </row>
    <row r="75" spans="2:8" ht="15" x14ac:dyDescent="0.2">
      <c r="B75" s="11"/>
      <c r="C75" s="25"/>
      <c r="D75" s="73"/>
      <c r="H75"/>
    </row>
    <row r="76" spans="2:8" ht="15" x14ac:dyDescent="0.2">
      <c r="B76" s="11" t="s">
        <v>296</v>
      </c>
      <c r="C76" s="25"/>
      <c r="D76" s="73">
        <v>32.93</v>
      </c>
      <c r="H76"/>
    </row>
    <row r="77" spans="2:8" ht="15" x14ac:dyDescent="0.2">
      <c r="B77" s="59" t="s">
        <v>147</v>
      </c>
      <c r="C77" s="25"/>
      <c r="D77" s="73">
        <v>12.94</v>
      </c>
      <c r="H77"/>
    </row>
    <row r="78" spans="2:8" ht="15" x14ac:dyDescent="0.2">
      <c r="B78" s="59" t="s">
        <v>162</v>
      </c>
      <c r="C78" s="25"/>
      <c r="D78" s="73">
        <v>33.64</v>
      </c>
      <c r="H78"/>
    </row>
    <row r="79" spans="2:8" ht="15" x14ac:dyDescent="0.2">
      <c r="B79" s="59" t="s">
        <v>13</v>
      </c>
      <c r="C79" s="25"/>
      <c r="D79" s="73">
        <v>584.12</v>
      </c>
      <c r="H79"/>
    </row>
    <row r="80" spans="2:8" ht="15" x14ac:dyDescent="0.2">
      <c r="B80" s="11"/>
      <c r="C80" s="25"/>
      <c r="D80" s="73"/>
      <c r="E80" s="1"/>
      <c r="H80"/>
    </row>
    <row r="81" spans="2:8" ht="15" x14ac:dyDescent="0.2">
      <c r="B81" s="11" t="s">
        <v>297</v>
      </c>
      <c r="C81" s="25"/>
      <c r="D81" s="73">
        <v>10.94</v>
      </c>
      <c r="H81"/>
    </row>
    <row r="82" spans="2:8" ht="15" x14ac:dyDescent="0.2">
      <c r="B82" s="58" t="s">
        <v>298</v>
      </c>
      <c r="C82" s="25"/>
      <c r="D82" s="73">
        <v>12.93</v>
      </c>
      <c r="H82"/>
    </row>
    <row r="83" spans="2:8" ht="15" x14ac:dyDescent="0.2">
      <c r="B83" s="59" t="s">
        <v>87</v>
      </c>
      <c r="C83" s="25"/>
      <c r="D83" s="73">
        <v>16.55</v>
      </c>
      <c r="H83"/>
    </row>
    <row r="84" spans="2:8" ht="15" x14ac:dyDescent="0.2">
      <c r="B84" s="59" t="s">
        <v>140</v>
      </c>
      <c r="C84" s="25"/>
      <c r="D84" s="73">
        <v>12</v>
      </c>
      <c r="H84"/>
    </row>
    <row r="85" spans="2:8" ht="15" x14ac:dyDescent="0.2">
      <c r="B85" s="59" t="s">
        <v>299</v>
      </c>
      <c r="C85" s="25"/>
      <c r="D85" s="73">
        <v>26.71</v>
      </c>
      <c r="H85"/>
    </row>
    <row r="86" spans="2:8" ht="15" x14ac:dyDescent="0.2">
      <c r="B86" s="59" t="s">
        <v>300</v>
      </c>
      <c r="C86" s="25"/>
      <c r="D86" s="73"/>
      <c r="H86"/>
    </row>
    <row r="87" spans="2:8" ht="15" x14ac:dyDescent="0.2">
      <c r="B87" s="59" t="s">
        <v>301</v>
      </c>
      <c r="C87" s="25"/>
      <c r="D87" s="73">
        <v>24.68</v>
      </c>
      <c r="H87"/>
    </row>
    <row r="88" spans="2:8" ht="15" x14ac:dyDescent="0.2">
      <c r="B88" s="59" t="s">
        <v>302</v>
      </c>
      <c r="C88" s="25"/>
      <c r="D88" s="73">
        <v>15</v>
      </c>
      <c r="H88"/>
    </row>
    <row r="89" spans="2:8" ht="15" x14ac:dyDescent="0.2">
      <c r="B89" s="59" t="s">
        <v>303</v>
      </c>
      <c r="C89" s="25"/>
      <c r="D89" s="73">
        <v>21.06</v>
      </c>
      <c r="H89"/>
    </row>
    <row r="90" spans="2:8" ht="15" x14ac:dyDescent="0.2">
      <c r="B90" s="59" t="s">
        <v>304</v>
      </c>
      <c r="C90" s="25"/>
      <c r="D90" s="73">
        <v>21.08</v>
      </c>
      <c r="H90"/>
    </row>
    <row r="91" spans="2:8" ht="15" x14ac:dyDescent="0.2">
      <c r="B91" s="59" t="s">
        <v>305</v>
      </c>
      <c r="C91" s="25"/>
      <c r="D91" s="73">
        <v>24.18</v>
      </c>
      <c r="H91"/>
    </row>
    <row r="92" spans="2:8" ht="15" x14ac:dyDescent="0.2">
      <c r="B92" s="11" t="s">
        <v>159</v>
      </c>
      <c r="C92" s="25"/>
      <c r="D92" s="73">
        <v>16.559999999999999</v>
      </c>
      <c r="H92"/>
    </row>
    <row r="93" spans="2:8" ht="15" x14ac:dyDescent="0.2">
      <c r="B93" s="11" t="s">
        <v>306</v>
      </c>
      <c r="C93" s="25"/>
      <c r="D93" s="73">
        <v>24.24</v>
      </c>
      <c r="H93"/>
    </row>
    <row r="94" spans="2:8" ht="15" x14ac:dyDescent="0.2">
      <c r="B94" s="59" t="s">
        <v>307</v>
      </c>
      <c r="C94" s="25"/>
      <c r="D94" s="73">
        <v>22.79</v>
      </c>
      <c r="H94"/>
    </row>
    <row r="95" spans="2:8" ht="15" x14ac:dyDescent="0.2">
      <c r="B95" s="59" t="s">
        <v>308</v>
      </c>
      <c r="C95" s="25"/>
      <c r="D95" s="73">
        <v>18.170000000000002</v>
      </c>
      <c r="E95" s="1"/>
      <c r="H95"/>
    </row>
    <row r="96" spans="2:8" ht="15" x14ac:dyDescent="0.2">
      <c r="B96" s="11" t="s">
        <v>309</v>
      </c>
      <c r="C96" s="25"/>
      <c r="D96" s="73">
        <v>17.82</v>
      </c>
      <c r="H96"/>
    </row>
    <row r="97" spans="2:8" ht="15" x14ac:dyDescent="0.2">
      <c r="B97" s="59" t="s">
        <v>310</v>
      </c>
      <c r="C97" s="25"/>
      <c r="D97" s="73">
        <v>22.31</v>
      </c>
      <c r="H97"/>
    </row>
    <row r="98" spans="2:8" ht="15" x14ac:dyDescent="0.2">
      <c r="B98" s="11" t="s">
        <v>81</v>
      </c>
      <c r="C98" s="25"/>
      <c r="D98" s="73">
        <v>29.1</v>
      </c>
      <c r="H98"/>
    </row>
    <row r="99" spans="2:8" ht="15" x14ac:dyDescent="0.2">
      <c r="B99" s="59" t="s">
        <v>311</v>
      </c>
      <c r="C99" s="25"/>
      <c r="D99" s="73">
        <v>29.1</v>
      </c>
      <c r="H99"/>
    </row>
    <row r="100" spans="2:8" ht="15" x14ac:dyDescent="0.2">
      <c r="B100" s="11" t="s">
        <v>312</v>
      </c>
      <c r="C100" s="25"/>
      <c r="D100" s="73">
        <v>17.420000000000002</v>
      </c>
      <c r="H100"/>
    </row>
    <row r="101" spans="2:8" ht="15" x14ac:dyDescent="0.2">
      <c r="B101" s="11" t="s">
        <v>313</v>
      </c>
      <c r="C101" s="25"/>
      <c r="D101" s="81">
        <v>18.45</v>
      </c>
      <c r="E101" s="1"/>
      <c r="H101"/>
    </row>
    <row r="102" spans="2:8" ht="15" x14ac:dyDescent="0.2">
      <c r="B102" s="11" t="s">
        <v>314</v>
      </c>
      <c r="C102" s="25"/>
      <c r="D102" s="81">
        <v>20.5</v>
      </c>
      <c r="E102" s="1"/>
      <c r="H102"/>
    </row>
    <row r="103" spans="2:8" ht="15" x14ac:dyDescent="0.2">
      <c r="B103" s="59" t="s">
        <v>315</v>
      </c>
      <c r="C103" s="25"/>
      <c r="D103" s="73">
        <v>20.62</v>
      </c>
      <c r="H103"/>
    </row>
    <row r="104" spans="2:8" ht="15" x14ac:dyDescent="0.2">
      <c r="B104" s="59" t="s">
        <v>316</v>
      </c>
      <c r="C104" s="25"/>
      <c r="D104" s="73">
        <v>19.510000000000002</v>
      </c>
      <c r="E104" s="1"/>
      <c r="H104"/>
    </row>
    <row r="105" spans="2:8" ht="15" x14ac:dyDescent="0.2">
      <c r="B105" s="59" t="s">
        <v>317</v>
      </c>
      <c r="C105" s="25"/>
      <c r="D105" s="73">
        <v>17.25</v>
      </c>
      <c r="E105" s="1"/>
      <c r="H105"/>
    </row>
    <row r="106" spans="2:8" ht="15" x14ac:dyDescent="0.2">
      <c r="B106" s="11" t="s">
        <v>318</v>
      </c>
      <c r="C106" s="25"/>
      <c r="D106" s="73">
        <v>18.09</v>
      </c>
      <c r="H106"/>
    </row>
    <row r="107" spans="2:8" ht="15" x14ac:dyDescent="0.2">
      <c r="B107" s="59" t="s">
        <v>319</v>
      </c>
      <c r="C107" s="25"/>
      <c r="D107" s="73">
        <v>20.39</v>
      </c>
      <c r="H107"/>
    </row>
    <row r="108" spans="2:8" ht="15" x14ac:dyDescent="0.2">
      <c r="B108" s="11" t="s">
        <v>320</v>
      </c>
      <c r="C108" s="25"/>
      <c r="D108" s="73">
        <v>11.04</v>
      </c>
      <c r="H108"/>
    </row>
    <row r="109" spans="2:8" ht="15" x14ac:dyDescent="0.2">
      <c r="B109" s="58" t="s">
        <v>321</v>
      </c>
      <c r="C109" s="25"/>
      <c r="D109" s="73">
        <v>11.06</v>
      </c>
      <c r="H109"/>
    </row>
    <row r="110" spans="2:8" ht="15" x14ac:dyDescent="0.2">
      <c r="B110" s="58" t="s">
        <v>322</v>
      </c>
      <c r="C110" s="25"/>
      <c r="D110" s="73">
        <v>27.87</v>
      </c>
      <c r="H110"/>
    </row>
    <row r="111" spans="2:8" ht="15" x14ac:dyDescent="0.2">
      <c r="B111" s="27" t="s">
        <v>323</v>
      </c>
      <c r="C111" s="25"/>
      <c r="D111" s="73">
        <v>22.63</v>
      </c>
      <c r="H111"/>
    </row>
    <row r="112" spans="2:8" ht="15" x14ac:dyDescent="0.2">
      <c r="B112" s="11" t="s">
        <v>324</v>
      </c>
      <c r="C112" s="25"/>
      <c r="D112" s="73">
        <v>18.63</v>
      </c>
      <c r="H112"/>
    </row>
    <row r="113" spans="2:8" ht="15" x14ac:dyDescent="0.2">
      <c r="B113" s="27" t="s">
        <v>325</v>
      </c>
      <c r="C113" s="25"/>
      <c r="D113" s="73">
        <v>15</v>
      </c>
      <c r="H113"/>
    </row>
    <row r="114" spans="2:8" ht="15" x14ac:dyDescent="0.2">
      <c r="B114" s="27" t="s">
        <v>326</v>
      </c>
      <c r="C114" s="25"/>
      <c r="D114" s="73">
        <v>11.7</v>
      </c>
      <c r="H114"/>
    </row>
    <row r="115" spans="2:8" ht="15" x14ac:dyDescent="0.2">
      <c r="B115" s="11" t="s">
        <v>327</v>
      </c>
      <c r="C115" s="25"/>
      <c r="D115" s="73">
        <v>10.8</v>
      </c>
      <c r="H115"/>
    </row>
    <row r="116" spans="2:8" ht="15" x14ac:dyDescent="0.2">
      <c r="B116" s="58" t="s">
        <v>85</v>
      </c>
      <c r="C116" s="25"/>
      <c r="D116" s="73">
        <v>9.23</v>
      </c>
      <c r="H116"/>
    </row>
    <row r="117" spans="2:8" ht="15" x14ac:dyDescent="0.2">
      <c r="B117" s="58"/>
      <c r="C117" s="25"/>
      <c r="D117" s="73"/>
      <c r="H117"/>
    </row>
    <row r="118" spans="2:8" ht="15" x14ac:dyDescent="0.2">
      <c r="B118" s="58" t="s">
        <v>328</v>
      </c>
      <c r="C118" s="25"/>
      <c r="D118" s="73">
        <v>15.58</v>
      </c>
      <c r="H118"/>
    </row>
    <row r="119" spans="2:8" ht="15" x14ac:dyDescent="0.2">
      <c r="B119" s="58" t="s">
        <v>329</v>
      </c>
      <c r="C119" s="25"/>
      <c r="D119" s="73">
        <v>11.83</v>
      </c>
      <c r="H119"/>
    </row>
    <row r="120" spans="2:8" ht="15" x14ac:dyDescent="0.2">
      <c r="B120" s="11" t="s">
        <v>330</v>
      </c>
      <c r="C120" s="25"/>
      <c r="D120" s="73">
        <v>12.08</v>
      </c>
      <c r="H120"/>
    </row>
    <row r="121" spans="2:8" ht="15" x14ac:dyDescent="0.2">
      <c r="B121" s="58" t="s">
        <v>331</v>
      </c>
      <c r="C121" s="25"/>
      <c r="D121" s="73">
        <v>14.9</v>
      </c>
      <c r="H121"/>
    </row>
    <row r="122" spans="2:8" ht="15" x14ac:dyDescent="0.2">
      <c r="B122" s="59" t="s">
        <v>332</v>
      </c>
      <c r="C122" s="25"/>
      <c r="D122" s="73">
        <v>9.74</v>
      </c>
      <c r="H122"/>
    </row>
    <row r="123" spans="2:8" ht="15" x14ac:dyDescent="0.2">
      <c r="B123" s="59" t="s">
        <v>333</v>
      </c>
      <c r="C123" s="25"/>
      <c r="D123" s="73">
        <v>11.43</v>
      </c>
      <c r="H123"/>
    </row>
    <row r="124" spans="2:8" ht="15" x14ac:dyDescent="0.2">
      <c r="B124" s="23" t="s">
        <v>334</v>
      </c>
      <c r="C124" s="25"/>
      <c r="D124" s="73">
        <v>9.67</v>
      </c>
      <c r="H124"/>
    </row>
    <row r="125" spans="2:8" ht="15" x14ac:dyDescent="0.2">
      <c r="B125" s="59" t="s">
        <v>335</v>
      </c>
      <c r="C125" s="25"/>
      <c r="D125" s="73">
        <v>10.48</v>
      </c>
      <c r="H125"/>
    </row>
    <row r="126" spans="2:8" ht="15" x14ac:dyDescent="0.2">
      <c r="B126" s="82" t="s">
        <v>336</v>
      </c>
      <c r="C126" s="83"/>
      <c r="D126" s="84">
        <v>14.47</v>
      </c>
      <c r="H126"/>
    </row>
    <row r="127" spans="2:8" ht="15" x14ac:dyDescent="0.2">
      <c r="B127" s="11" t="s">
        <v>337</v>
      </c>
      <c r="C127" s="25"/>
      <c r="D127" s="73">
        <v>13.77</v>
      </c>
      <c r="H127"/>
    </row>
    <row r="128" spans="2:8" ht="15" x14ac:dyDescent="0.2">
      <c r="B128" s="59" t="s">
        <v>139</v>
      </c>
      <c r="C128" s="25"/>
      <c r="D128" s="73">
        <v>8</v>
      </c>
      <c r="H128"/>
    </row>
    <row r="129" spans="2:10" ht="15" x14ac:dyDescent="0.2">
      <c r="B129" s="27" t="s">
        <v>338</v>
      </c>
      <c r="C129" s="25"/>
      <c r="D129" s="73">
        <v>15.87</v>
      </c>
      <c r="H129"/>
    </row>
    <row r="130" spans="2:10" ht="15" x14ac:dyDescent="0.2">
      <c r="B130" s="27" t="s">
        <v>339</v>
      </c>
      <c r="C130" s="25"/>
      <c r="D130" s="73">
        <v>6.6</v>
      </c>
      <c r="H130"/>
    </row>
    <row r="131" spans="2:10" ht="15" x14ac:dyDescent="0.2">
      <c r="B131" s="11" t="s">
        <v>340</v>
      </c>
      <c r="C131" s="25"/>
      <c r="D131" s="73">
        <v>7.62</v>
      </c>
      <c r="E131" s="14"/>
      <c r="F131" s="14"/>
      <c r="G131" s="14"/>
      <c r="I131" s="14"/>
      <c r="J131" s="14"/>
    </row>
    <row r="132" spans="2:10" ht="15" x14ac:dyDescent="0.2">
      <c r="B132" s="59" t="s">
        <v>341</v>
      </c>
      <c r="C132" s="25"/>
      <c r="D132" s="73">
        <v>12.72</v>
      </c>
      <c r="H132"/>
    </row>
    <row r="133" spans="2:10" ht="15" x14ac:dyDescent="0.2">
      <c r="B133" s="27" t="s">
        <v>342</v>
      </c>
      <c r="C133" s="25"/>
      <c r="D133" s="73">
        <v>10.64</v>
      </c>
      <c r="E133" s="14"/>
      <c r="F133" s="14"/>
      <c r="G133" s="14"/>
      <c r="I133" s="14"/>
      <c r="J133" s="14"/>
    </row>
    <row r="134" spans="2:10" ht="15" x14ac:dyDescent="0.2">
      <c r="B134" s="59" t="s">
        <v>343</v>
      </c>
      <c r="C134" s="25"/>
      <c r="D134" s="73">
        <v>23.48</v>
      </c>
      <c r="H134"/>
    </row>
    <row r="135" spans="2:10" ht="15" x14ac:dyDescent="0.2">
      <c r="B135" s="59" t="s">
        <v>344</v>
      </c>
      <c r="C135" s="25"/>
      <c r="D135" s="73">
        <v>13.04</v>
      </c>
      <c r="H135"/>
    </row>
    <row r="136" spans="2:10" ht="15" x14ac:dyDescent="0.2">
      <c r="B136" s="59" t="s">
        <v>345</v>
      </c>
      <c r="C136" s="25"/>
      <c r="D136" s="73">
        <v>12.47</v>
      </c>
      <c r="H136"/>
    </row>
    <row r="137" spans="2:10" ht="15" x14ac:dyDescent="0.2">
      <c r="B137" s="59" t="s">
        <v>346</v>
      </c>
      <c r="C137" s="25"/>
      <c r="D137" s="73">
        <v>9.33</v>
      </c>
      <c r="H137"/>
    </row>
    <row r="138" spans="2:10" ht="15" x14ac:dyDescent="0.2">
      <c r="B138" s="11" t="s">
        <v>17</v>
      </c>
      <c r="C138" s="25"/>
      <c r="D138" s="73">
        <v>12.83</v>
      </c>
      <c r="H138"/>
    </row>
    <row r="139" spans="2:10" ht="15" x14ac:dyDescent="0.2">
      <c r="B139" s="27" t="s">
        <v>131</v>
      </c>
      <c r="C139" s="25"/>
      <c r="D139" s="73">
        <v>16.25</v>
      </c>
      <c r="H139"/>
    </row>
    <row r="140" spans="2:10" ht="15" x14ac:dyDescent="0.2">
      <c r="B140" s="59" t="s">
        <v>347</v>
      </c>
      <c r="C140" s="25"/>
      <c r="D140" s="73">
        <v>12.52</v>
      </c>
      <c r="H140"/>
    </row>
    <row r="141" spans="2:10" ht="15" x14ac:dyDescent="0.2">
      <c r="B141" s="11" t="s">
        <v>348</v>
      </c>
      <c r="C141" s="25"/>
      <c r="D141" s="73">
        <v>23.41</v>
      </c>
      <c r="H141"/>
    </row>
    <row r="142" spans="2:10" ht="15" x14ac:dyDescent="0.2">
      <c r="B142" s="11" t="s">
        <v>349</v>
      </c>
      <c r="C142" s="25"/>
      <c r="D142" s="73">
        <v>23.4</v>
      </c>
      <c r="H142"/>
    </row>
    <row r="143" spans="2:10" ht="15" x14ac:dyDescent="0.2">
      <c r="B143" s="11" t="s">
        <v>350</v>
      </c>
      <c r="C143" s="25"/>
      <c r="D143" s="73">
        <v>26.35</v>
      </c>
      <c r="H143"/>
    </row>
    <row r="144" spans="2:10" ht="15" x14ac:dyDescent="0.2">
      <c r="B144" s="11" t="s">
        <v>71</v>
      </c>
      <c r="C144" s="25"/>
      <c r="D144" s="73">
        <v>17.64</v>
      </c>
      <c r="H144"/>
    </row>
    <row r="145" spans="2:8" ht="15" x14ac:dyDescent="0.2">
      <c r="B145" s="27" t="s">
        <v>351</v>
      </c>
      <c r="C145" s="25"/>
      <c r="D145" s="73">
        <v>19.510000000000002</v>
      </c>
      <c r="H145"/>
    </row>
    <row r="146" spans="2:8" ht="15" x14ac:dyDescent="0.2">
      <c r="B146" s="11" t="s">
        <v>352</v>
      </c>
      <c r="C146" s="25"/>
      <c r="D146" s="73">
        <v>16</v>
      </c>
      <c r="H146"/>
    </row>
    <row r="147" spans="2:8" ht="15" x14ac:dyDescent="0.2">
      <c r="B147" s="27" t="s">
        <v>353</v>
      </c>
      <c r="C147" s="25"/>
      <c r="D147" s="73">
        <v>11.56</v>
      </c>
      <c r="H147"/>
    </row>
    <row r="148" spans="2:8" ht="15" x14ac:dyDescent="0.2">
      <c r="B148" s="11" t="s">
        <v>354</v>
      </c>
      <c r="C148" s="25"/>
      <c r="D148" s="73">
        <v>12.77</v>
      </c>
      <c r="H148"/>
    </row>
    <row r="149" spans="2:8" ht="15" x14ac:dyDescent="0.2">
      <c r="B149" s="11" t="s">
        <v>355</v>
      </c>
      <c r="C149" s="25"/>
      <c r="D149" s="73">
        <v>13.41</v>
      </c>
      <c r="H149"/>
    </row>
    <row r="150" spans="2:8" ht="15" x14ac:dyDescent="0.2">
      <c r="B150" s="27" t="s">
        <v>356</v>
      </c>
      <c r="C150" s="25"/>
      <c r="D150" s="73">
        <v>12.51</v>
      </c>
      <c r="H150"/>
    </row>
    <row r="151" spans="2:8" ht="15" x14ac:dyDescent="0.2">
      <c r="B151" s="27" t="s">
        <v>357</v>
      </c>
      <c r="C151" s="25"/>
      <c r="D151" s="73">
        <v>15.92</v>
      </c>
      <c r="H151"/>
    </row>
    <row r="152" spans="2:8" ht="15" x14ac:dyDescent="0.2">
      <c r="B152" s="11" t="s">
        <v>148</v>
      </c>
      <c r="C152" s="25"/>
      <c r="D152" s="73">
        <v>10.75</v>
      </c>
      <c r="H152"/>
    </row>
    <row r="153" spans="2:8" ht="15" x14ac:dyDescent="0.2">
      <c r="B153" s="11" t="s">
        <v>29</v>
      </c>
      <c r="C153" s="25"/>
      <c r="D153" s="73">
        <v>19.82</v>
      </c>
      <c r="H153"/>
    </row>
    <row r="154" spans="2:8" ht="15" x14ac:dyDescent="0.2">
      <c r="B154" s="11" t="s">
        <v>358</v>
      </c>
      <c r="C154" s="25"/>
      <c r="D154" s="73">
        <v>16.5</v>
      </c>
      <c r="H154"/>
    </row>
    <row r="155" spans="2:8" ht="15" x14ac:dyDescent="0.2">
      <c r="B155" s="27" t="s">
        <v>359</v>
      </c>
      <c r="C155" s="25"/>
      <c r="D155" s="73">
        <v>12.19</v>
      </c>
      <c r="H155"/>
    </row>
    <row r="156" spans="2:8" ht="15" x14ac:dyDescent="0.2">
      <c r="B156" s="23" t="s">
        <v>360</v>
      </c>
      <c r="C156" s="25"/>
      <c r="D156" s="73">
        <v>16.12</v>
      </c>
      <c r="H156"/>
    </row>
    <row r="157" spans="2:8" ht="15" x14ac:dyDescent="0.2">
      <c r="B157" s="11" t="s">
        <v>361</v>
      </c>
      <c r="C157" s="25"/>
      <c r="D157" s="73">
        <v>14.93</v>
      </c>
      <c r="H157"/>
    </row>
    <row r="158" spans="2:8" ht="15" x14ac:dyDescent="0.2">
      <c r="B158" s="11" t="s">
        <v>362</v>
      </c>
      <c r="C158" s="25"/>
      <c r="D158" s="73">
        <v>12.45</v>
      </c>
      <c r="H158"/>
    </row>
    <row r="159" spans="2:8" ht="15" x14ac:dyDescent="0.2">
      <c r="B159" s="23" t="s">
        <v>363</v>
      </c>
      <c r="C159" s="25"/>
      <c r="D159" s="73">
        <v>15.61</v>
      </c>
      <c r="H159"/>
    </row>
    <row r="160" spans="2:8" ht="15" x14ac:dyDescent="0.2">
      <c r="B160" s="27" t="s">
        <v>364</v>
      </c>
      <c r="C160" s="25"/>
      <c r="D160" s="73">
        <v>10.64</v>
      </c>
      <c r="H160"/>
    </row>
    <row r="161" spans="2:8" ht="15" x14ac:dyDescent="0.2">
      <c r="B161" s="59" t="s">
        <v>365</v>
      </c>
      <c r="C161" s="25"/>
      <c r="D161" s="73">
        <v>6.67</v>
      </c>
      <c r="H161"/>
    </row>
    <row r="162" spans="2:8" ht="15" x14ac:dyDescent="0.2">
      <c r="B162" s="27" t="s">
        <v>366</v>
      </c>
      <c r="C162" s="25"/>
      <c r="D162" s="73">
        <v>10.199999999999999</v>
      </c>
      <c r="H162"/>
    </row>
    <row r="163" spans="2:8" ht="15" x14ac:dyDescent="0.2">
      <c r="B163" s="27" t="s">
        <v>367</v>
      </c>
      <c r="C163" s="25"/>
      <c r="D163" s="73">
        <v>8.26</v>
      </c>
      <c r="H163"/>
    </row>
    <row r="164" spans="2:8" ht="15" x14ac:dyDescent="0.2">
      <c r="B164" s="11" t="s">
        <v>368</v>
      </c>
      <c r="C164" s="25"/>
      <c r="D164" s="73">
        <v>12.94</v>
      </c>
      <c r="H164"/>
    </row>
    <row r="165" spans="2:8" ht="15" x14ac:dyDescent="0.2">
      <c r="B165" s="11" t="s">
        <v>19</v>
      </c>
      <c r="C165" s="25"/>
      <c r="D165" s="73">
        <v>9.76</v>
      </c>
      <c r="H165"/>
    </row>
    <row r="166" spans="2:8" ht="15" x14ac:dyDescent="0.2">
      <c r="B166" s="11" t="s">
        <v>369</v>
      </c>
      <c r="C166" s="25"/>
      <c r="D166" s="73">
        <v>13.88</v>
      </c>
      <c r="H166"/>
    </row>
    <row r="167" spans="2:8" ht="15" x14ac:dyDescent="0.2">
      <c r="B167" s="11" t="s">
        <v>370</v>
      </c>
      <c r="C167" s="25"/>
      <c r="D167" s="73">
        <v>13.79</v>
      </c>
      <c r="H167"/>
    </row>
    <row r="168" spans="2:8" ht="15" x14ac:dyDescent="0.2">
      <c r="B168" s="11" t="s">
        <v>371</v>
      </c>
      <c r="C168" s="25"/>
      <c r="D168" s="73">
        <v>14.04</v>
      </c>
      <c r="H168"/>
    </row>
    <row r="169" spans="2:8" ht="15" x14ac:dyDescent="0.2">
      <c r="B169" s="82" t="s">
        <v>372</v>
      </c>
      <c r="C169" s="83"/>
      <c r="D169" s="84">
        <v>17.45</v>
      </c>
      <c r="H169"/>
    </row>
    <row r="170" spans="2:8" ht="15" x14ac:dyDescent="0.2">
      <c r="B170" s="11" t="s">
        <v>373</v>
      </c>
      <c r="C170" s="25"/>
      <c r="D170" s="73">
        <v>12.94</v>
      </c>
      <c r="H170"/>
    </row>
    <row r="171" spans="2:8" ht="15" x14ac:dyDescent="0.2">
      <c r="B171" s="27" t="s">
        <v>374</v>
      </c>
      <c r="C171" s="25"/>
      <c r="D171" s="73">
        <v>11.03</v>
      </c>
      <c r="H171"/>
    </row>
    <row r="172" spans="2:8" ht="15" x14ac:dyDescent="0.2">
      <c r="B172" s="11" t="s">
        <v>375</v>
      </c>
      <c r="C172" s="25"/>
      <c r="D172" s="73">
        <v>10.91</v>
      </c>
      <c r="H172"/>
    </row>
    <row r="173" spans="2:8" ht="15" x14ac:dyDescent="0.2">
      <c r="B173" s="11" t="s">
        <v>376</v>
      </c>
      <c r="C173" s="25"/>
      <c r="D173" s="73">
        <v>15.38</v>
      </c>
      <c r="H173"/>
    </row>
    <row r="174" spans="2:8" ht="15" x14ac:dyDescent="0.2">
      <c r="B174" s="11" t="s">
        <v>377</v>
      </c>
      <c r="C174" s="25"/>
      <c r="D174" s="73">
        <v>8.9</v>
      </c>
      <c r="H174"/>
    </row>
    <row r="175" spans="2:8" ht="15" x14ac:dyDescent="0.2">
      <c r="B175" s="11" t="s">
        <v>378</v>
      </c>
      <c r="C175" s="25"/>
      <c r="D175" s="73">
        <v>9.8699999999999992</v>
      </c>
      <c r="H175"/>
    </row>
    <row r="176" spans="2:8" ht="15" x14ac:dyDescent="0.2">
      <c r="B176" s="11" t="s">
        <v>379</v>
      </c>
      <c r="C176" s="25"/>
      <c r="D176" s="73">
        <v>17</v>
      </c>
      <c r="H176"/>
    </row>
    <row r="177" spans="2:8" ht="15" x14ac:dyDescent="0.2">
      <c r="B177" s="11" t="s">
        <v>711</v>
      </c>
      <c r="C177" s="25"/>
      <c r="D177" s="73">
        <v>7.41</v>
      </c>
      <c r="H177"/>
    </row>
    <row r="178" spans="2:8" ht="15" x14ac:dyDescent="0.2">
      <c r="B178" s="11" t="s">
        <v>712</v>
      </c>
      <c r="C178" s="25"/>
      <c r="D178" s="73">
        <v>16.62</v>
      </c>
      <c r="H178"/>
    </row>
    <row r="179" spans="2:8" ht="15" x14ac:dyDescent="0.2">
      <c r="B179" s="11" t="s">
        <v>380</v>
      </c>
      <c r="C179" s="25"/>
      <c r="D179" s="73">
        <v>24.75</v>
      </c>
      <c r="H179"/>
    </row>
    <row r="180" spans="2:8" ht="15" x14ac:dyDescent="0.2">
      <c r="B180" s="59" t="s">
        <v>381</v>
      </c>
      <c r="C180" s="25"/>
      <c r="D180" s="73">
        <v>12.38</v>
      </c>
      <c r="H180"/>
    </row>
    <row r="181" spans="2:8" ht="15" x14ac:dyDescent="0.2">
      <c r="B181" s="11" t="s">
        <v>382</v>
      </c>
      <c r="C181" s="25"/>
      <c r="D181" s="73">
        <v>13.52</v>
      </c>
      <c r="H181"/>
    </row>
    <row r="182" spans="2:8" ht="15" x14ac:dyDescent="0.2">
      <c r="B182" s="27" t="s">
        <v>383</v>
      </c>
      <c r="C182" s="25"/>
      <c r="D182" s="73">
        <v>7.56</v>
      </c>
      <c r="H182"/>
    </row>
    <row r="183" spans="2:8" ht="15" x14ac:dyDescent="0.2">
      <c r="B183" s="11" t="s">
        <v>384</v>
      </c>
      <c r="C183" s="25"/>
      <c r="D183" s="73">
        <v>13.14</v>
      </c>
      <c r="H183"/>
    </row>
    <row r="184" spans="2:8" ht="15" x14ac:dyDescent="0.2">
      <c r="B184" s="27" t="s">
        <v>385</v>
      </c>
      <c r="C184" s="25"/>
      <c r="D184" s="73">
        <v>24.75</v>
      </c>
      <c r="H184"/>
    </row>
    <row r="185" spans="2:8" ht="15" x14ac:dyDescent="0.2">
      <c r="B185" s="11" t="s">
        <v>386</v>
      </c>
      <c r="C185" s="25"/>
      <c r="D185" s="73">
        <v>12.2</v>
      </c>
      <c r="H185"/>
    </row>
    <row r="186" spans="2:8" ht="15" x14ac:dyDescent="0.2">
      <c r="B186" s="11" t="s">
        <v>387</v>
      </c>
      <c r="C186" s="25"/>
      <c r="D186" s="73">
        <v>10.64</v>
      </c>
      <c r="H186"/>
    </row>
    <row r="187" spans="2:8" ht="15" x14ac:dyDescent="0.2">
      <c r="B187" s="27" t="s">
        <v>740</v>
      </c>
      <c r="C187" s="25"/>
      <c r="D187" s="73">
        <v>9.8699999999999992</v>
      </c>
      <c r="H187"/>
    </row>
    <row r="188" spans="2:8" ht="15" x14ac:dyDescent="0.2">
      <c r="B188" s="27" t="s">
        <v>388</v>
      </c>
      <c r="C188" s="25"/>
      <c r="D188" s="73">
        <v>9.8699999999999992</v>
      </c>
      <c r="H188"/>
    </row>
    <row r="189" spans="2:8" ht="15" x14ac:dyDescent="0.2">
      <c r="B189" s="27" t="s">
        <v>389</v>
      </c>
      <c r="C189" s="25"/>
      <c r="D189" s="73">
        <v>11.02</v>
      </c>
      <c r="H189"/>
    </row>
    <row r="190" spans="2:8" ht="15" x14ac:dyDescent="0.2">
      <c r="B190" s="11" t="s">
        <v>390</v>
      </c>
      <c r="C190" s="25"/>
      <c r="D190" s="73">
        <v>11.18</v>
      </c>
      <c r="H190"/>
    </row>
    <row r="191" spans="2:8" ht="15" x14ac:dyDescent="0.2">
      <c r="B191" s="27" t="s">
        <v>391</v>
      </c>
      <c r="C191" s="25"/>
      <c r="D191" s="73">
        <v>15.2</v>
      </c>
      <c r="H191"/>
    </row>
    <row r="192" spans="2:8" ht="15" x14ac:dyDescent="0.2">
      <c r="B192" s="11" t="s">
        <v>392</v>
      </c>
      <c r="C192" s="25"/>
      <c r="D192" s="73">
        <v>12.19</v>
      </c>
      <c r="H192"/>
    </row>
    <row r="193" spans="2:8" ht="15" x14ac:dyDescent="0.2">
      <c r="B193" s="27" t="s">
        <v>393</v>
      </c>
      <c r="C193" s="25"/>
      <c r="D193" s="73">
        <v>10.64</v>
      </c>
      <c r="H193"/>
    </row>
    <row r="194" spans="2:8" ht="15" x14ac:dyDescent="0.2">
      <c r="B194" s="59" t="s">
        <v>394</v>
      </c>
      <c r="C194" s="25"/>
      <c r="D194" s="73">
        <v>22.5</v>
      </c>
      <c r="H194"/>
    </row>
    <row r="195" spans="2:8" ht="15" x14ac:dyDescent="0.2">
      <c r="B195" s="11" t="s">
        <v>395</v>
      </c>
      <c r="C195" s="25"/>
      <c r="D195" s="73"/>
      <c r="E195" s="1"/>
      <c r="H195"/>
    </row>
    <row r="196" spans="2:8" ht="15" x14ac:dyDescent="0.2">
      <c r="B196" s="58" t="s">
        <v>214</v>
      </c>
      <c r="C196" s="25"/>
      <c r="D196" s="73">
        <v>23.41</v>
      </c>
      <c r="H196"/>
    </row>
    <row r="197" spans="2:8" ht="15" x14ac:dyDescent="0.2">
      <c r="B197" s="27" t="s">
        <v>396</v>
      </c>
      <c r="C197" s="25"/>
      <c r="D197" s="73">
        <v>11.02</v>
      </c>
      <c r="H197"/>
    </row>
    <row r="198" spans="2:8" ht="15" x14ac:dyDescent="0.2">
      <c r="B198" s="27" t="s">
        <v>397</v>
      </c>
      <c r="C198" s="25"/>
      <c r="D198" s="73">
        <v>11.6</v>
      </c>
      <c r="H198"/>
    </row>
    <row r="199" spans="2:8" ht="15" x14ac:dyDescent="0.2">
      <c r="B199" s="27" t="s">
        <v>398</v>
      </c>
      <c r="C199" s="25"/>
      <c r="D199" s="73">
        <v>12.47</v>
      </c>
      <c r="H199"/>
    </row>
    <row r="200" spans="2:8" ht="15" x14ac:dyDescent="0.2">
      <c r="B200" s="27" t="s">
        <v>399</v>
      </c>
      <c r="C200" s="25"/>
      <c r="D200" s="73">
        <v>13.79</v>
      </c>
      <c r="H200"/>
    </row>
    <row r="201" spans="2:8" ht="15" x14ac:dyDescent="0.2">
      <c r="B201" s="27" t="s">
        <v>400</v>
      </c>
      <c r="C201" s="25"/>
      <c r="D201" s="73">
        <v>18.100000000000001</v>
      </c>
      <c r="H201"/>
    </row>
    <row r="202" spans="2:8" ht="15" x14ac:dyDescent="0.2">
      <c r="B202" s="27" t="s">
        <v>92</v>
      </c>
      <c r="C202" s="25"/>
      <c r="D202" s="73">
        <v>6.59</v>
      </c>
      <c r="H202"/>
    </row>
    <row r="203" spans="2:8" ht="15" x14ac:dyDescent="0.2">
      <c r="B203" s="11" t="s">
        <v>170</v>
      </c>
      <c r="C203" s="25"/>
      <c r="D203" s="73">
        <v>19.989999999999998</v>
      </c>
      <c r="H203"/>
    </row>
    <row r="204" spans="2:8" ht="15" x14ac:dyDescent="0.2">
      <c r="B204" s="27" t="s">
        <v>401</v>
      </c>
      <c r="C204" s="25"/>
      <c r="D204" s="73">
        <v>13.65</v>
      </c>
      <c r="H204"/>
    </row>
    <row r="205" spans="2:8" ht="15" x14ac:dyDescent="0.2">
      <c r="B205" s="11" t="s">
        <v>21</v>
      </c>
      <c r="C205" s="25"/>
      <c r="D205" s="73">
        <v>11.64</v>
      </c>
      <c r="H205"/>
    </row>
    <row r="206" spans="2:8" ht="15" x14ac:dyDescent="0.2">
      <c r="B206" s="59" t="s">
        <v>402</v>
      </c>
      <c r="C206" s="25"/>
      <c r="D206" s="73">
        <v>15.38</v>
      </c>
      <c r="H206"/>
    </row>
    <row r="207" spans="2:8" ht="15" x14ac:dyDescent="0.2">
      <c r="B207" s="11" t="s">
        <v>191</v>
      </c>
      <c r="C207" s="25"/>
      <c r="D207" s="73">
        <v>9.91</v>
      </c>
      <c r="H207"/>
    </row>
    <row r="208" spans="2:8" ht="15" x14ac:dyDescent="0.2">
      <c r="B208" s="11" t="s">
        <v>403</v>
      </c>
      <c r="C208" s="25"/>
      <c r="D208" s="73">
        <v>18.850000000000001</v>
      </c>
      <c r="H208"/>
    </row>
    <row r="209" spans="2:8" ht="15" x14ac:dyDescent="0.2">
      <c r="B209" s="11" t="s">
        <v>404</v>
      </c>
      <c r="C209" s="25"/>
      <c r="D209" s="73">
        <v>6.86</v>
      </c>
      <c r="H209"/>
    </row>
    <row r="210" spans="2:8" ht="15" x14ac:dyDescent="0.2">
      <c r="B210" s="11" t="s">
        <v>405</v>
      </c>
      <c r="C210" s="25"/>
      <c r="D210" s="73">
        <v>12.04</v>
      </c>
      <c r="E210" s="1"/>
      <c r="H210"/>
    </row>
    <row r="211" spans="2:8" ht="15" x14ac:dyDescent="0.2">
      <c r="B211" s="11" t="s">
        <v>406</v>
      </c>
      <c r="C211" s="25"/>
      <c r="D211" s="73">
        <v>6.86</v>
      </c>
      <c r="H211"/>
    </row>
    <row r="212" spans="2:8" ht="15" x14ac:dyDescent="0.2">
      <c r="B212" s="11" t="s">
        <v>407</v>
      </c>
      <c r="C212" s="25"/>
      <c r="D212" s="73">
        <v>7.62</v>
      </c>
      <c r="H212"/>
    </row>
    <row r="213" spans="2:8" ht="15" x14ac:dyDescent="0.2">
      <c r="B213" s="11" t="s">
        <v>408</v>
      </c>
      <c r="C213" s="25"/>
      <c r="D213" s="73">
        <v>15</v>
      </c>
      <c r="H213"/>
    </row>
    <row r="214" spans="2:8" ht="15" x14ac:dyDescent="0.2">
      <c r="B214" s="11" t="s">
        <v>409</v>
      </c>
      <c r="C214" s="25"/>
      <c r="D214" s="73">
        <v>6.96</v>
      </c>
      <c r="H214"/>
    </row>
    <row r="215" spans="2:8" ht="15" x14ac:dyDescent="0.2">
      <c r="B215" s="58" t="s">
        <v>410</v>
      </c>
      <c r="C215" s="25"/>
      <c r="D215" s="73">
        <v>20.52</v>
      </c>
      <c r="H215"/>
    </row>
    <row r="216" spans="2:8" ht="15" x14ac:dyDescent="0.2">
      <c r="B216" s="11"/>
      <c r="C216" s="25"/>
      <c r="D216" s="73"/>
      <c r="H216"/>
    </row>
    <row r="217" spans="2:8" ht="15" x14ac:dyDescent="0.2">
      <c r="B217" s="11" t="s">
        <v>411</v>
      </c>
      <c r="C217" s="25"/>
      <c r="D217" s="73">
        <v>38</v>
      </c>
      <c r="E217" s="1"/>
      <c r="H217"/>
    </row>
    <row r="218" spans="2:8" ht="15" x14ac:dyDescent="0.2">
      <c r="B218" s="26" t="s">
        <v>412</v>
      </c>
      <c r="C218" s="24"/>
      <c r="D218" s="85">
        <v>29.12</v>
      </c>
      <c r="H218"/>
    </row>
    <row r="219" spans="2:8" ht="15" x14ac:dyDescent="0.2">
      <c r="B219" s="26" t="s">
        <v>413</v>
      </c>
      <c r="C219" s="24"/>
      <c r="D219" s="85">
        <v>30.35</v>
      </c>
      <c r="H219"/>
    </row>
    <row r="220" spans="2:8" ht="15" x14ac:dyDescent="0.2">
      <c r="B220" s="26" t="s">
        <v>414</v>
      </c>
      <c r="C220" s="24"/>
      <c r="D220" s="85"/>
      <c r="H220"/>
    </row>
    <row r="221" spans="2:8" ht="15" x14ac:dyDescent="0.2">
      <c r="B221" s="26" t="s">
        <v>89</v>
      </c>
      <c r="C221" s="24"/>
      <c r="D221" s="85">
        <v>69.41</v>
      </c>
      <c r="H221"/>
    </row>
    <row r="222" spans="2:8" ht="15" x14ac:dyDescent="0.2">
      <c r="B222" s="26" t="s">
        <v>415</v>
      </c>
      <c r="C222" s="24"/>
      <c r="D222" s="85">
        <v>68.78</v>
      </c>
      <c r="H222"/>
    </row>
    <row r="223" spans="2:8" ht="15" x14ac:dyDescent="0.2">
      <c r="B223" s="26" t="s">
        <v>66</v>
      </c>
      <c r="C223" s="24"/>
      <c r="D223" s="85">
        <v>47.56</v>
      </c>
      <c r="H223"/>
    </row>
    <row r="224" spans="2:8" ht="15" x14ac:dyDescent="0.2">
      <c r="B224" s="26" t="s">
        <v>67</v>
      </c>
      <c r="C224" s="24"/>
      <c r="D224" s="85">
        <v>19.899999999999999</v>
      </c>
      <c r="H224"/>
    </row>
    <row r="225" spans="2:8" ht="15" x14ac:dyDescent="0.2">
      <c r="B225" s="26" t="s">
        <v>75</v>
      </c>
      <c r="C225" s="24"/>
      <c r="D225" s="85">
        <v>27</v>
      </c>
      <c r="H225"/>
    </row>
    <row r="226" spans="2:8" ht="15" x14ac:dyDescent="0.2">
      <c r="B226" s="26" t="s">
        <v>416</v>
      </c>
      <c r="C226" s="24"/>
      <c r="D226" s="85">
        <v>21.91</v>
      </c>
      <c r="H226"/>
    </row>
    <row r="227" spans="2:8" ht="15" x14ac:dyDescent="0.2">
      <c r="B227" s="26" t="s">
        <v>88</v>
      </c>
      <c r="C227" s="24"/>
      <c r="D227" s="85">
        <v>19</v>
      </c>
      <c r="H227"/>
    </row>
    <row r="228" spans="2:8" ht="15" x14ac:dyDescent="0.2">
      <c r="B228" s="26"/>
      <c r="C228" s="24"/>
      <c r="D228" s="85"/>
      <c r="H228"/>
    </row>
    <row r="229" spans="2:8" ht="15" x14ac:dyDescent="0.2">
      <c r="B229" s="23" t="s">
        <v>153</v>
      </c>
      <c r="C229" s="25"/>
      <c r="D229" s="73">
        <v>3.45</v>
      </c>
      <c r="H229"/>
    </row>
    <row r="230" spans="2:8" ht="15" x14ac:dyDescent="0.2">
      <c r="B230" s="23"/>
      <c r="C230" s="25"/>
      <c r="D230" s="73"/>
      <c r="H230"/>
    </row>
    <row r="231" spans="2:8" ht="15" x14ac:dyDescent="0.2">
      <c r="B231" s="23" t="s">
        <v>417</v>
      </c>
      <c r="C231" s="25"/>
      <c r="D231" s="73">
        <v>37.65</v>
      </c>
      <c r="H231"/>
    </row>
    <row r="232" spans="2:8" ht="15" x14ac:dyDescent="0.2">
      <c r="B232" s="11" t="s">
        <v>418</v>
      </c>
      <c r="C232" s="25"/>
      <c r="D232" s="73">
        <v>34.96</v>
      </c>
      <c r="H232"/>
    </row>
    <row r="233" spans="2:8" ht="15" x14ac:dyDescent="0.2">
      <c r="B233" s="11" t="s">
        <v>419</v>
      </c>
      <c r="C233" s="25"/>
      <c r="D233" s="73">
        <v>15.85</v>
      </c>
      <c r="H233"/>
    </row>
    <row r="234" spans="2:8" ht="15" x14ac:dyDescent="0.2">
      <c r="B234" s="11" t="s">
        <v>420</v>
      </c>
      <c r="C234" s="25"/>
      <c r="D234" s="73">
        <v>13.63</v>
      </c>
      <c r="H234"/>
    </row>
    <row r="235" spans="2:8" ht="15" x14ac:dyDescent="0.2">
      <c r="B235" s="11"/>
      <c r="C235" s="25"/>
      <c r="D235" s="73"/>
      <c r="H235"/>
    </row>
    <row r="236" spans="2:8" ht="15" x14ac:dyDescent="0.2">
      <c r="B236" s="11" t="s">
        <v>421</v>
      </c>
      <c r="C236" s="25"/>
      <c r="D236" s="73">
        <v>15.5</v>
      </c>
      <c r="H236"/>
    </row>
    <row r="237" spans="2:8" ht="15" x14ac:dyDescent="0.2">
      <c r="B237" s="11" t="s">
        <v>422</v>
      </c>
      <c r="C237" s="25"/>
      <c r="D237" s="73">
        <v>11.95</v>
      </c>
      <c r="H237"/>
    </row>
    <row r="238" spans="2:8" ht="15" x14ac:dyDescent="0.2">
      <c r="B238" s="11" t="s">
        <v>423</v>
      </c>
      <c r="C238" s="25"/>
      <c r="D238" s="73">
        <v>11</v>
      </c>
      <c r="H238"/>
    </row>
    <row r="239" spans="2:8" ht="15" x14ac:dyDescent="0.2">
      <c r="B239" s="11" t="s">
        <v>424</v>
      </c>
      <c r="C239" s="25"/>
      <c r="D239" s="73">
        <v>10</v>
      </c>
      <c r="H239"/>
    </row>
    <row r="240" spans="2:8" ht="15" x14ac:dyDescent="0.2">
      <c r="B240" s="11" t="s">
        <v>425</v>
      </c>
      <c r="C240" s="25"/>
      <c r="D240" s="73">
        <v>10.1</v>
      </c>
      <c r="H240"/>
    </row>
    <row r="241" spans="2:8" ht="15" x14ac:dyDescent="0.2">
      <c r="B241" s="11"/>
      <c r="C241" s="25"/>
      <c r="D241" s="73"/>
      <c r="H241"/>
    </row>
    <row r="242" spans="2:8" ht="15" x14ac:dyDescent="0.2">
      <c r="B242" s="11" t="s">
        <v>426</v>
      </c>
      <c r="C242" s="25"/>
      <c r="D242" s="73">
        <v>0.8</v>
      </c>
      <c r="H242"/>
    </row>
    <row r="243" spans="2:8" ht="15" x14ac:dyDescent="0.2">
      <c r="B243" s="11" t="s">
        <v>427</v>
      </c>
      <c r="C243" s="25"/>
      <c r="D243" s="73">
        <v>0.8</v>
      </c>
      <c r="H243"/>
    </row>
    <row r="244" spans="2:8" ht="15" x14ac:dyDescent="0.2">
      <c r="B244" s="11" t="s">
        <v>166</v>
      </c>
      <c r="C244" s="25"/>
      <c r="D244" s="73">
        <v>0.89</v>
      </c>
      <c r="H244"/>
    </row>
    <row r="245" spans="2:8" ht="15" x14ac:dyDescent="0.2">
      <c r="B245" s="11" t="s">
        <v>167</v>
      </c>
      <c r="C245" s="25"/>
      <c r="D245" s="73">
        <v>0.89</v>
      </c>
      <c r="H245"/>
    </row>
    <row r="246" spans="2:8" ht="15" x14ac:dyDescent="0.2">
      <c r="B246" s="11" t="s">
        <v>428</v>
      </c>
      <c r="C246" s="25"/>
      <c r="D246" s="73">
        <v>1.02</v>
      </c>
      <c r="H246"/>
    </row>
    <row r="247" spans="2:8" ht="15" x14ac:dyDescent="0.2">
      <c r="B247" s="11" t="s">
        <v>178</v>
      </c>
      <c r="C247" s="25"/>
      <c r="D247" s="73">
        <v>19.2</v>
      </c>
      <c r="H247"/>
    </row>
    <row r="248" spans="2:8" ht="15" x14ac:dyDescent="0.2">
      <c r="B248" s="11" t="s">
        <v>179</v>
      </c>
      <c r="C248" s="25"/>
      <c r="D248" s="73">
        <v>19.2</v>
      </c>
      <c r="H248"/>
    </row>
    <row r="249" spans="2:8" ht="15" x14ac:dyDescent="0.2">
      <c r="B249" s="11" t="s">
        <v>180</v>
      </c>
      <c r="C249" s="25"/>
      <c r="D249" s="73">
        <v>19.2</v>
      </c>
      <c r="H249"/>
    </row>
    <row r="250" spans="2:8" ht="15" x14ac:dyDescent="0.2">
      <c r="B250" s="11" t="s">
        <v>181</v>
      </c>
      <c r="C250" s="25"/>
      <c r="D250" s="73">
        <v>1.1599999999999999</v>
      </c>
      <c r="H250"/>
    </row>
    <row r="251" spans="2:8" ht="15" x14ac:dyDescent="0.2">
      <c r="B251" s="11" t="s">
        <v>182</v>
      </c>
      <c r="C251" s="25"/>
      <c r="D251" s="73">
        <v>19.2</v>
      </c>
      <c r="H251"/>
    </row>
    <row r="252" spans="2:8" ht="15" x14ac:dyDescent="0.2">
      <c r="B252" s="11" t="s">
        <v>429</v>
      </c>
      <c r="C252" s="25"/>
      <c r="D252" s="73">
        <v>1.1599999999999999</v>
      </c>
      <c r="H252"/>
    </row>
    <row r="253" spans="2:8" ht="15" x14ac:dyDescent="0.2">
      <c r="B253" s="11" t="s">
        <v>187</v>
      </c>
      <c r="C253" s="25"/>
      <c r="D253" s="73">
        <v>1.01</v>
      </c>
      <c r="H253"/>
    </row>
    <row r="254" spans="2:8" ht="15" x14ac:dyDescent="0.2">
      <c r="B254" s="11" t="s">
        <v>183</v>
      </c>
      <c r="C254" s="25"/>
      <c r="D254" s="73">
        <v>36</v>
      </c>
      <c r="H254"/>
    </row>
    <row r="255" spans="2:8" ht="15" x14ac:dyDescent="0.2">
      <c r="B255" s="11" t="s">
        <v>186</v>
      </c>
      <c r="C255" s="25"/>
      <c r="D255" s="73">
        <v>1.3</v>
      </c>
      <c r="H255"/>
    </row>
    <row r="256" spans="2:8" ht="15" x14ac:dyDescent="0.2">
      <c r="B256" s="11" t="s">
        <v>185</v>
      </c>
      <c r="C256" s="25"/>
      <c r="D256" s="73">
        <v>36</v>
      </c>
      <c r="H256"/>
    </row>
    <row r="257" spans="2:8" ht="15" x14ac:dyDescent="0.2">
      <c r="B257" s="11" t="s">
        <v>184</v>
      </c>
      <c r="C257" s="25"/>
      <c r="D257" s="73">
        <v>1.02</v>
      </c>
      <c r="H257"/>
    </row>
    <row r="258" spans="2:8" ht="15" x14ac:dyDescent="0.2">
      <c r="B258" s="11" t="s">
        <v>188</v>
      </c>
      <c r="C258" s="25"/>
      <c r="D258" s="73">
        <v>1.1299999999999999</v>
      </c>
      <c r="H258"/>
    </row>
    <row r="259" spans="2:8" ht="15" x14ac:dyDescent="0.2">
      <c r="B259" s="11" t="s">
        <v>430</v>
      </c>
      <c r="C259" s="25"/>
      <c r="D259" s="73">
        <v>0.8</v>
      </c>
      <c r="H259"/>
    </row>
    <row r="260" spans="2:8" ht="15" x14ac:dyDescent="0.2">
      <c r="B260" s="11" t="s">
        <v>431</v>
      </c>
      <c r="C260" s="25"/>
      <c r="D260" s="73">
        <v>1.03</v>
      </c>
      <c r="H260"/>
    </row>
    <row r="261" spans="2:8" ht="15" x14ac:dyDescent="0.2">
      <c r="B261" s="11" t="s">
        <v>432</v>
      </c>
      <c r="C261" s="25"/>
      <c r="D261" s="73">
        <v>1.1200000000000001</v>
      </c>
      <c r="H261"/>
    </row>
    <row r="262" spans="2:8" ht="15" x14ac:dyDescent="0.2">
      <c r="B262" s="11" t="s">
        <v>433</v>
      </c>
      <c r="C262" s="25"/>
      <c r="D262" s="73">
        <v>1.1200000000000001</v>
      </c>
      <c r="H262"/>
    </row>
    <row r="263" spans="2:8" ht="15" x14ac:dyDescent="0.2">
      <c r="B263" s="11" t="s">
        <v>434</v>
      </c>
      <c r="C263" s="86"/>
      <c r="D263" s="73">
        <v>1.48</v>
      </c>
      <c r="H263"/>
    </row>
    <row r="264" spans="2:8" ht="15" x14ac:dyDescent="0.2">
      <c r="B264" s="11" t="s">
        <v>435</v>
      </c>
      <c r="C264" s="25"/>
      <c r="D264" s="73">
        <v>0.84</v>
      </c>
      <c r="E264" s="1"/>
      <c r="H264"/>
    </row>
    <row r="265" spans="2:8" ht="15" x14ac:dyDescent="0.2">
      <c r="B265" s="11" t="s">
        <v>436</v>
      </c>
      <c r="C265" s="25"/>
      <c r="D265" s="73">
        <v>0.99</v>
      </c>
      <c r="H265"/>
    </row>
    <row r="266" spans="2:8" ht="15" x14ac:dyDescent="0.2">
      <c r="B266" s="11"/>
      <c r="C266" s="25"/>
      <c r="D266" s="73"/>
      <c r="H266"/>
    </row>
    <row r="267" spans="2:8" ht="15" x14ac:dyDescent="0.2">
      <c r="B267" s="59" t="s">
        <v>437</v>
      </c>
      <c r="C267" s="25"/>
      <c r="D267" s="73">
        <v>42.26</v>
      </c>
      <c r="H267"/>
    </row>
    <row r="268" spans="2:8" ht="15" x14ac:dyDescent="0.2">
      <c r="B268" s="59" t="s">
        <v>136</v>
      </c>
      <c r="C268" s="25"/>
      <c r="D268" s="73">
        <v>15.5</v>
      </c>
      <c r="H268"/>
    </row>
    <row r="269" spans="2:8" ht="15" x14ac:dyDescent="0.2">
      <c r="B269" s="59" t="s">
        <v>213</v>
      </c>
      <c r="C269" s="25"/>
      <c r="D269" s="73">
        <v>14.12</v>
      </c>
      <c r="H269"/>
    </row>
    <row r="270" spans="2:8" ht="15" x14ac:dyDescent="0.2">
      <c r="B270" s="27" t="s">
        <v>138</v>
      </c>
      <c r="C270" s="25"/>
      <c r="D270" s="73">
        <v>12.34</v>
      </c>
      <c r="H270"/>
    </row>
    <row r="271" spans="2:8" ht="15" x14ac:dyDescent="0.2">
      <c r="B271" s="27" t="s">
        <v>110</v>
      </c>
      <c r="C271" s="25"/>
      <c r="D271" s="73">
        <v>11.3</v>
      </c>
      <c r="H271"/>
    </row>
    <row r="272" spans="2:8" ht="15" x14ac:dyDescent="0.2">
      <c r="B272" s="27" t="s">
        <v>438</v>
      </c>
      <c r="C272" s="25"/>
      <c r="D272" s="73">
        <v>13.53</v>
      </c>
      <c r="H272"/>
    </row>
    <row r="273" spans="2:10" ht="15" x14ac:dyDescent="0.2">
      <c r="B273" s="27" t="s">
        <v>439</v>
      </c>
      <c r="C273" s="25"/>
      <c r="D273" s="73">
        <v>12.67</v>
      </c>
      <c r="H273"/>
    </row>
    <row r="274" spans="2:10" ht="15" x14ac:dyDescent="0.2">
      <c r="B274" s="27" t="s">
        <v>108</v>
      </c>
      <c r="C274" s="25"/>
      <c r="D274" s="73">
        <v>17</v>
      </c>
      <c r="H274"/>
    </row>
    <row r="275" spans="2:10" ht="15" x14ac:dyDescent="0.2">
      <c r="B275" s="59" t="s">
        <v>440</v>
      </c>
      <c r="C275" s="25"/>
      <c r="D275" s="73">
        <v>29.29</v>
      </c>
      <c r="H275"/>
    </row>
    <row r="276" spans="2:10" ht="15" x14ac:dyDescent="0.2">
      <c r="B276" s="59" t="s">
        <v>441</v>
      </c>
      <c r="C276" s="25"/>
      <c r="D276" s="73">
        <v>27.32</v>
      </c>
      <c r="H276"/>
    </row>
    <row r="277" spans="2:10" ht="15" x14ac:dyDescent="0.2">
      <c r="B277" s="59" t="s">
        <v>442</v>
      </c>
      <c r="C277" s="25"/>
      <c r="D277" s="73">
        <v>11.42</v>
      </c>
      <c r="H277"/>
    </row>
    <row r="278" spans="2:10" ht="15" x14ac:dyDescent="0.2">
      <c r="B278" s="59" t="s">
        <v>142</v>
      </c>
      <c r="C278" s="25"/>
      <c r="D278" s="73">
        <v>10.15</v>
      </c>
      <c r="H278"/>
    </row>
    <row r="279" spans="2:10" ht="15" x14ac:dyDescent="0.2">
      <c r="B279" s="11" t="s">
        <v>5</v>
      </c>
      <c r="C279" s="25"/>
      <c r="D279" s="73">
        <v>19</v>
      </c>
      <c r="H279"/>
    </row>
    <row r="280" spans="2:10" ht="15" x14ac:dyDescent="0.2">
      <c r="B280" s="11" t="s">
        <v>443</v>
      </c>
      <c r="C280" s="25"/>
      <c r="D280" s="73">
        <v>14.37</v>
      </c>
      <c r="E280" s="87"/>
      <c r="F280" s="87"/>
      <c r="G280" s="87"/>
      <c r="H280" s="87"/>
      <c r="I280" s="87"/>
      <c r="J280" s="87"/>
    </row>
    <row r="281" spans="2:10" ht="15" x14ac:dyDescent="0.2">
      <c r="B281" s="11" t="s">
        <v>444</v>
      </c>
      <c r="C281" s="25"/>
      <c r="D281" s="73">
        <v>11.8</v>
      </c>
      <c r="H281"/>
    </row>
    <row r="282" spans="2:10" ht="15" x14ac:dyDescent="0.2">
      <c r="B282" s="59" t="s">
        <v>146</v>
      </c>
      <c r="C282" s="25"/>
      <c r="D282" s="73">
        <v>30.59</v>
      </c>
      <c r="H282"/>
    </row>
    <row r="283" spans="2:10" ht="15" x14ac:dyDescent="0.2">
      <c r="B283" s="59" t="s">
        <v>445</v>
      </c>
      <c r="C283" s="25"/>
      <c r="D283" s="73">
        <v>17.18</v>
      </c>
      <c r="H283"/>
    </row>
    <row r="284" spans="2:10" ht="15" x14ac:dyDescent="0.2">
      <c r="B284" s="59" t="s">
        <v>446</v>
      </c>
      <c r="C284" s="25"/>
      <c r="D284" s="73">
        <v>26.75</v>
      </c>
      <c r="H284"/>
    </row>
    <row r="285" spans="2:10" ht="15" x14ac:dyDescent="0.2">
      <c r="B285" s="59" t="s">
        <v>447</v>
      </c>
      <c r="C285" s="25"/>
      <c r="D285" s="73">
        <v>22</v>
      </c>
      <c r="H285"/>
    </row>
    <row r="286" spans="2:10" ht="15" x14ac:dyDescent="0.2">
      <c r="B286" s="59" t="s">
        <v>448</v>
      </c>
      <c r="C286" s="25"/>
      <c r="D286" s="73">
        <v>9.99</v>
      </c>
      <c r="H286"/>
    </row>
    <row r="287" spans="2:10" ht="15" x14ac:dyDescent="0.2">
      <c r="B287" s="59" t="s">
        <v>449</v>
      </c>
      <c r="C287" s="25"/>
      <c r="D287" s="73">
        <v>10.130000000000001</v>
      </c>
      <c r="H287"/>
    </row>
    <row r="288" spans="2:10" ht="15" x14ac:dyDescent="0.2">
      <c r="B288" s="11" t="s">
        <v>450</v>
      </c>
      <c r="C288" s="25"/>
      <c r="D288" s="73">
        <v>9.64</v>
      </c>
      <c r="H288"/>
    </row>
    <row r="289" spans="2:8" ht="15" x14ac:dyDescent="0.2">
      <c r="B289" s="11" t="s">
        <v>451</v>
      </c>
      <c r="C289" s="25"/>
      <c r="D289" s="73">
        <v>17.29</v>
      </c>
      <c r="H289"/>
    </row>
    <row r="290" spans="2:8" ht="15" x14ac:dyDescent="0.2">
      <c r="B290" s="59" t="s">
        <v>452</v>
      </c>
      <c r="C290" s="25"/>
      <c r="D290" s="73">
        <v>16.82</v>
      </c>
      <c r="H290"/>
    </row>
    <row r="291" spans="2:8" ht="15" x14ac:dyDescent="0.2">
      <c r="B291" s="11" t="s">
        <v>453</v>
      </c>
      <c r="C291" s="25"/>
      <c r="D291" s="73">
        <v>32.14</v>
      </c>
      <c r="H291"/>
    </row>
    <row r="292" spans="2:8" ht="15" x14ac:dyDescent="0.2">
      <c r="B292" s="11" t="s">
        <v>454</v>
      </c>
      <c r="C292" s="25"/>
      <c r="D292" s="73">
        <v>17.850000000000001</v>
      </c>
      <c r="H292"/>
    </row>
    <row r="293" spans="2:8" ht="15" x14ac:dyDescent="0.2">
      <c r="B293" s="11" t="s">
        <v>455</v>
      </c>
      <c r="C293" s="25"/>
      <c r="D293" s="73">
        <v>18.36</v>
      </c>
      <c r="H293"/>
    </row>
    <row r="294" spans="2:8" ht="15" x14ac:dyDescent="0.2">
      <c r="B294" s="59" t="s">
        <v>456</v>
      </c>
      <c r="C294" s="25"/>
      <c r="D294" s="73">
        <v>21.71</v>
      </c>
      <c r="H294"/>
    </row>
    <row r="295" spans="2:8" ht="15" x14ac:dyDescent="0.2">
      <c r="B295" s="11" t="s">
        <v>457</v>
      </c>
      <c r="C295" s="25"/>
      <c r="D295" s="73">
        <v>0</v>
      </c>
      <c r="H295"/>
    </row>
    <row r="296" spans="2:8" ht="15" x14ac:dyDescent="0.2">
      <c r="B296" s="27" t="s">
        <v>172</v>
      </c>
      <c r="C296" s="25"/>
      <c r="D296" s="73">
        <v>24.44</v>
      </c>
      <c r="H296"/>
    </row>
    <row r="297" spans="2:8" ht="15" x14ac:dyDescent="0.2">
      <c r="B297" s="59" t="s">
        <v>173</v>
      </c>
      <c r="C297" s="25"/>
      <c r="D297" s="73">
        <v>22.99</v>
      </c>
      <c r="H297"/>
    </row>
    <row r="298" spans="2:8" ht="15" x14ac:dyDescent="0.2">
      <c r="B298" s="58" t="s">
        <v>458</v>
      </c>
      <c r="C298" s="25"/>
      <c r="D298" s="73">
        <v>17.690000000000001</v>
      </c>
      <c r="H298"/>
    </row>
    <row r="299" spans="2:8" ht="15" x14ac:dyDescent="0.2">
      <c r="B299" s="59" t="s">
        <v>459</v>
      </c>
      <c r="C299" s="25"/>
      <c r="D299" s="73">
        <v>33.17</v>
      </c>
      <c r="H299"/>
    </row>
    <row r="300" spans="2:8" ht="15" x14ac:dyDescent="0.2">
      <c r="B300" s="59" t="s">
        <v>460</v>
      </c>
      <c r="C300" s="25"/>
      <c r="D300" s="73">
        <v>32.090000000000003</v>
      </c>
      <c r="H300"/>
    </row>
    <row r="301" spans="2:8" ht="15" x14ac:dyDescent="0.2">
      <c r="B301" s="59" t="s">
        <v>461</v>
      </c>
      <c r="C301" s="25"/>
      <c r="D301" s="73">
        <v>13.6</v>
      </c>
      <c r="H301"/>
    </row>
    <row r="302" spans="2:8" ht="15" x14ac:dyDescent="0.2">
      <c r="B302" s="59" t="s">
        <v>462</v>
      </c>
      <c r="C302" s="25"/>
      <c r="D302" s="73">
        <v>22</v>
      </c>
      <c r="H302"/>
    </row>
    <row r="303" spans="2:8" ht="15" x14ac:dyDescent="0.2">
      <c r="B303" s="59" t="s">
        <v>463</v>
      </c>
      <c r="C303" s="25"/>
      <c r="D303" s="73">
        <v>18.36</v>
      </c>
      <c r="H303"/>
    </row>
    <row r="304" spans="2:8" ht="15" x14ac:dyDescent="0.2">
      <c r="B304" s="58" t="s">
        <v>194</v>
      </c>
      <c r="C304" s="25"/>
      <c r="D304" s="73">
        <v>12.96</v>
      </c>
      <c r="H304"/>
    </row>
    <row r="305" spans="2:8" ht="15" x14ac:dyDescent="0.2">
      <c r="B305" s="59" t="s">
        <v>86</v>
      </c>
      <c r="C305" s="25"/>
      <c r="D305" s="73">
        <v>39.049999999999997</v>
      </c>
      <c r="H305"/>
    </row>
    <row r="306" spans="2:8" ht="15" x14ac:dyDescent="0.2">
      <c r="B306" s="27" t="s">
        <v>464</v>
      </c>
      <c r="C306" s="25"/>
      <c r="D306" s="73">
        <v>38.51</v>
      </c>
      <c r="H306"/>
    </row>
    <row r="307" spans="2:8" ht="15" x14ac:dyDescent="0.2">
      <c r="B307" s="27" t="s">
        <v>196</v>
      </c>
      <c r="C307" s="25"/>
      <c r="D307" s="73">
        <v>54.73</v>
      </c>
      <c r="H307"/>
    </row>
    <row r="308" spans="2:8" ht="15" x14ac:dyDescent="0.2">
      <c r="B308" s="59" t="s">
        <v>197</v>
      </c>
      <c r="C308" s="25"/>
      <c r="D308" s="73">
        <v>91.49</v>
      </c>
      <c r="H308"/>
    </row>
    <row r="309" spans="2:8" ht="15" x14ac:dyDescent="0.2">
      <c r="B309" s="59" t="s">
        <v>853</v>
      </c>
      <c r="C309" s="25"/>
      <c r="D309" s="73"/>
      <c r="H309"/>
    </row>
    <row r="310" spans="2:8" ht="15" x14ac:dyDescent="0.2">
      <c r="B310" s="59" t="s">
        <v>465</v>
      </c>
      <c r="C310" s="25"/>
      <c r="D310" s="73">
        <v>7.02</v>
      </c>
      <c r="H310"/>
    </row>
    <row r="311" spans="2:8" ht="15" x14ac:dyDescent="0.2">
      <c r="B311" s="59" t="s">
        <v>466</v>
      </c>
      <c r="C311" s="25"/>
      <c r="D311" s="73">
        <v>9.2100000000000009</v>
      </c>
      <c r="H311"/>
    </row>
    <row r="312" spans="2:8" ht="15" x14ac:dyDescent="0.2">
      <c r="B312" s="59" t="s">
        <v>467</v>
      </c>
      <c r="C312" s="25"/>
      <c r="D312" s="73">
        <v>10.31</v>
      </c>
      <c r="H312"/>
    </row>
    <row r="313" spans="2:8" ht="15" x14ac:dyDescent="0.2">
      <c r="B313" s="59" t="s">
        <v>468</v>
      </c>
      <c r="C313" s="25"/>
      <c r="D313" s="73">
        <v>12.35</v>
      </c>
      <c r="H313"/>
    </row>
    <row r="314" spans="2:8" ht="15" x14ac:dyDescent="0.2">
      <c r="B314" s="59" t="s">
        <v>469</v>
      </c>
      <c r="C314" s="25"/>
      <c r="D314" s="73">
        <v>9.2100000000000009</v>
      </c>
      <c r="H314"/>
    </row>
    <row r="315" spans="2:8" ht="15" x14ac:dyDescent="0.2">
      <c r="B315" s="59" t="s">
        <v>470</v>
      </c>
      <c r="C315" s="25"/>
      <c r="D315" s="73">
        <v>9.6300000000000008</v>
      </c>
      <c r="H315"/>
    </row>
    <row r="316" spans="2:8" ht="15" x14ac:dyDescent="0.2">
      <c r="B316" s="11" t="s">
        <v>163</v>
      </c>
      <c r="C316" s="25"/>
      <c r="D316" s="73">
        <v>8.6</v>
      </c>
      <c r="H316"/>
    </row>
    <row r="317" spans="2:8" ht="15" x14ac:dyDescent="0.2">
      <c r="B317" s="11" t="s">
        <v>471</v>
      </c>
      <c r="C317" s="25"/>
      <c r="D317" s="73">
        <v>9.86</v>
      </c>
      <c r="H317"/>
    </row>
    <row r="318" spans="2:8" ht="15" x14ac:dyDescent="0.2">
      <c r="B318" s="11" t="s">
        <v>23</v>
      </c>
      <c r="C318" s="25"/>
      <c r="D318" s="73">
        <v>4.79</v>
      </c>
      <c r="H318"/>
    </row>
    <row r="319" spans="2:8" ht="15" x14ac:dyDescent="0.2">
      <c r="B319" s="11" t="s">
        <v>472</v>
      </c>
      <c r="C319" s="25"/>
      <c r="D319" s="73">
        <v>9.49</v>
      </c>
      <c r="H319"/>
    </row>
    <row r="320" spans="2:8" ht="15" x14ac:dyDescent="0.2">
      <c r="B320" s="11" t="s">
        <v>473</v>
      </c>
      <c r="C320" s="25"/>
      <c r="D320" s="73">
        <v>7.42</v>
      </c>
      <c r="H320"/>
    </row>
    <row r="321" spans="2:8" ht="15" x14ac:dyDescent="0.2">
      <c r="B321" s="11" t="s">
        <v>474</v>
      </c>
      <c r="C321" s="25"/>
      <c r="D321" s="73">
        <v>7.19</v>
      </c>
      <c r="H321"/>
    </row>
    <row r="322" spans="2:8" ht="15" x14ac:dyDescent="0.2">
      <c r="B322" s="11" t="s">
        <v>475</v>
      </c>
      <c r="C322" s="25"/>
      <c r="D322" s="73">
        <v>9.86</v>
      </c>
      <c r="H322"/>
    </row>
    <row r="323" spans="2:8" ht="15" x14ac:dyDescent="0.2">
      <c r="B323" s="11" t="s">
        <v>476</v>
      </c>
      <c r="C323" s="25"/>
      <c r="D323" s="73">
        <v>9.2100000000000009</v>
      </c>
      <c r="H323"/>
    </row>
    <row r="324" spans="2:8" ht="15" x14ac:dyDescent="0.2">
      <c r="B324" s="11" t="s">
        <v>477</v>
      </c>
      <c r="C324" s="25"/>
      <c r="D324" s="73">
        <v>9</v>
      </c>
      <c r="H324"/>
    </row>
    <row r="325" spans="2:8" ht="15" x14ac:dyDescent="0.2">
      <c r="B325" s="11" t="s">
        <v>478</v>
      </c>
      <c r="C325" s="25"/>
      <c r="D325" s="73">
        <v>8.1</v>
      </c>
      <c r="H325"/>
    </row>
    <row r="326" spans="2:8" ht="15" x14ac:dyDescent="0.2">
      <c r="B326" s="59" t="s">
        <v>479</v>
      </c>
      <c r="C326" s="25"/>
      <c r="D326" s="73">
        <v>5.21</v>
      </c>
      <c r="H326"/>
    </row>
    <row r="327" spans="2:8" ht="15" x14ac:dyDescent="0.2">
      <c r="B327" s="11" t="s">
        <v>480</v>
      </c>
      <c r="C327" s="25"/>
      <c r="D327" s="73">
        <v>11.7</v>
      </c>
      <c r="H327"/>
    </row>
    <row r="328" spans="2:8" ht="15" x14ac:dyDescent="0.2">
      <c r="B328" s="11"/>
      <c r="C328" s="25"/>
      <c r="D328" s="73"/>
      <c r="H328"/>
    </row>
    <row r="329" spans="2:8" ht="15" x14ac:dyDescent="0.2">
      <c r="B329" s="11" t="s">
        <v>28</v>
      </c>
      <c r="C329" s="25"/>
      <c r="D329" s="73">
        <v>4.45</v>
      </c>
      <c r="H329"/>
    </row>
    <row r="330" spans="2:8" ht="15" x14ac:dyDescent="0.2">
      <c r="B330" s="11"/>
      <c r="C330" s="25"/>
      <c r="D330" s="73"/>
      <c r="H330"/>
    </row>
    <row r="331" spans="2:8" ht="15" x14ac:dyDescent="0.2">
      <c r="B331" s="23" t="s">
        <v>14</v>
      </c>
      <c r="C331" s="25"/>
      <c r="D331" s="73">
        <v>2.59</v>
      </c>
      <c r="H331"/>
    </row>
    <row r="332" spans="2:8" ht="15" x14ac:dyDescent="0.2">
      <c r="B332" s="23"/>
      <c r="C332" s="25"/>
      <c r="D332" s="73"/>
      <c r="H332"/>
    </row>
    <row r="333" spans="2:8" ht="15" x14ac:dyDescent="0.2">
      <c r="B333" s="59" t="s">
        <v>200</v>
      </c>
      <c r="C333" s="25"/>
      <c r="D333" s="73"/>
      <c r="H333"/>
    </row>
    <row r="334" spans="2:8" ht="15" x14ac:dyDescent="0.2">
      <c r="B334" s="59" t="s">
        <v>481</v>
      </c>
      <c r="C334" s="25"/>
      <c r="D334" s="73"/>
      <c r="H334"/>
    </row>
    <row r="335" spans="2:8" ht="15" x14ac:dyDescent="0.2">
      <c r="B335" s="59" t="s">
        <v>482</v>
      </c>
      <c r="C335" s="25"/>
      <c r="D335" s="73">
        <v>23.34</v>
      </c>
      <c r="H335"/>
    </row>
    <row r="336" spans="2:8" ht="15" x14ac:dyDescent="0.2">
      <c r="B336" s="59" t="s">
        <v>483</v>
      </c>
      <c r="C336" s="25"/>
      <c r="D336" s="73"/>
      <c r="H336"/>
    </row>
    <row r="337" spans="2:8" ht="15" x14ac:dyDescent="0.2">
      <c r="B337" s="59" t="s">
        <v>65</v>
      </c>
      <c r="C337" s="25"/>
      <c r="D337" s="73">
        <v>16.88</v>
      </c>
      <c r="H337"/>
    </row>
    <row r="338" spans="2:8" ht="15" x14ac:dyDescent="0.2">
      <c r="B338" s="60" t="s">
        <v>135</v>
      </c>
      <c r="C338" s="25"/>
      <c r="D338" s="73">
        <v>15.22</v>
      </c>
      <c r="E338" s="1"/>
      <c r="H338"/>
    </row>
    <row r="339" spans="2:8" ht="15" x14ac:dyDescent="0.2">
      <c r="B339" s="11" t="s">
        <v>484</v>
      </c>
      <c r="C339" s="25"/>
      <c r="D339" s="73">
        <v>17.600000000000001</v>
      </c>
      <c r="H339"/>
    </row>
    <row r="340" spans="2:8" ht="15" x14ac:dyDescent="0.2">
      <c r="B340" s="11" t="s">
        <v>485</v>
      </c>
      <c r="C340" s="25"/>
      <c r="D340" s="73">
        <v>69.41</v>
      </c>
      <c r="H340"/>
    </row>
    <row r="341" spans="2:8" ht="15" x14ac:dyDescent="0.2">
      <c r="B341" s="59" t="s">
        <v>486</v>
      </c>
      <c r="C341" s="25"/>
      <c r="D341" s="73">
        <v>245.88</v>
      </c>
      <c r="H341"/>
    </row>
    <row r="342" spans="2:8" ht="15" x14ac:dyDescent="0.2">
      <c r="B342" s="59" t="s">
        <v>74</v>
      </c>
      <c r="C342" s="25"/>
      <c r="D342" s="73">
        <v>27.57</v>
      </c>
      <c r="H342"/>
    </row>
    <row r="343" spans="2:8" ht="15" x14ac:dyDescent="0.2">
      <c r="B343" s="59" t="s">
        <v>487</v>
      </c>
      <c r="C343" s="25"/>
      <c r="D343" s="73">
        <v>48.28</v>
      </c>
      <c r="H343"/>
    </row>
    <row r="344" spans="2:8" ht="15" x14ac:dyDescent="0.2">
      <c r="B344" s="59" t="s">
        <v>207</v>
      </c>
      <c r="C344" s="25"/>
      <c r="D344" s="73"/>
      <c r="H344"/>
    </row>
    <row r="345" spans="2:8" ht="15" x14ac:dyDescent="0.2">
      <c r="B345" s="59" t="s">
        <v>488</v>
      </c>
      <c r="C345" s="25"/>
      <c r="D345" s="73"/>
      <c r="H345"/>
    </row>
    <row r="346" spans="2:8" ht="15" x14ac:dyDescent="0.2">
      <c r="B346" s="59" t="s">
        <v>489</v>
      </c>
      <c r="C346" s="25"/>
      <c r="D346" s="73"/>
      <c r="H346"/>
    </row>
    <row r="347" spans="2:8" ht="15" x14ac:dyDescent="0.2">
      <c r="B347" s="59" t="s">
        <v>490</v>
      </c>
      <c r="C347" s="25"/>
      <c r="D347" s="73"/>
      <c r="H347"/>
    </row>
    <row r="348" spans="2:8" ht="15" x14ac:dyDescent="0.2">
      <c r="B348" s="59" t="s">
        <v>76</v>
      </c>
      <c r="C348" s="25"/>
      <c r="D348" s="73">
        <v>127.67</v>
      </c>
      <c r="H348"/>
    </row>
    <row r="349" spans="2:8" ht="15" x14ac:dyDescent="0.2">
      <c r="B349" s="59" t="s">
        <v>491</v>
      </c>
      <c r="C349" s="25"/>
      <c r="D349" s="73">
        <v>154.03</v>
      </c>
      <c r="H349"/>
    </row>
    <row r="350" spans="2:8" ht="15" x14ac:dyDescent="0.2">
      <c r="B350" s="59" t="s">
        <v>492</v>
      </c>
      <c r="C350" s="25"/>
      <c r="D350" s="73">
        <v>47.12</v>
      </c>
      <c r="H350"/>
    </row>
    <row r="351" spans="2:8" ht="15" x14ac:dyDescent="0.2">
      <c r="B351" s="59" t="s">
        <v>493</v>
      </c>
      <c r="C351" s="25"/>
      <c r="D351" s="73">
        <v>48.15</v>
      </c>
      <c r="H351"/>
    </row>
    <row r="352" spans="2:8" ht="15" x14ac:dyDescent="0.2">
      <c r="B352" s="59" t="s">
        <v>77</v>
      </c>
      <c r="C352" s="25"/>
      <c r="D352" s="73">
        <v>42.04</v>
      </c>
      <c r="H352"/>
    </row>
    <row r="353" spans="2:8" ht="15" x14ac:dyDescent="0.2">
      <c r="B353" s="59" t="s">
        <v>494</v>
      </c>
      <c r="C353" s="25"/>
      <c r="D353" s="73">
        <v>29</v>
      </c>
      <c r="E353" s="1"/>
      <c r="H353"/>
    </row>
    <row r="354" spans="2:8" ht="15" x14ac:dyDescent="0.2">
      <c r="B354" s="59" t="s">
        <v>175</v>
      </c>
      <c r="C354" s="25"/>
      <c r="D354" s="73">
        <v>77.319999999999993</v>
      </c>
      <c r="H354"/>
    </row>
    <row r="355" spans="2:8" ht="15" x14ac:dyDescent="0.2">
      <c r="B355" s="59"/>
      <c r="C355" s="25"/>
      <c r="D355" s="73"/>
      <c r="H355"/>
    </row>
    <row r="356" spans="2:8" ht="15" x14ac:dyDescent="0.2">
      <c r="B356" s="59" t="s">
        <v>495</v>
      </c>
      <c r="C356" s="25"/>
      <c r="D356" s="73">
        <v>10.66</v>
      </c>
      <c r="H356"/>
    </row>
    <row r="357" spans="2:8" ht="15" x14ac:dyDescent="0.2">
      <c r="B357" s="59" t="s">
        <v>143</v>
      </c>
      <c r="C357" s="25"/>
      <c r="D357" s="73">
        <v>18.59</v>
      </c>
      <c r="H357"/>
    </row>
    <row r="358" spans="2:8" ht="15" x14ac:dyDescent="0.2">
      <c r="B358" s="11" t="s">
        <v>144</v>
      </c>
      <c r="C358" s="25"/>
      <c r="D358" s="73">
        <v>8.68</v>
      </c>
      <c r="H358"/>
    </row>
    <row r="359" spans="2:8" ht="15" x14ac:dyDescent="0.2">
      <c r="B359" s="11" t="s">
        <v>145</v>
      </c>
      <c r="C359" s="25"/>
      <c r="D359" s="73">
        <v>8.9</v>
      </c>
      <c r="H359"/>
    </row>
    <row r="360" spans="2:8" ht="15" x14ac:dyDescent="0.2">
      <c r="B360" s="11" t="s">
        <v>496</v>
      </c>
      <c r="C360" s="25"/>
      <c r="D360" s="73">
        <v>9.94</v>
      </c>
      <c r="H360"/>
    </row>
    <row r="361" spans="2:8" ht="15" x14ac:dyDescent="0.2">
      <c r="B361" s="11" t="s">
        <v>497</v>
      </c>
      <c r="C361" s="25"/>
      <c r="D361" s="73">
        <v>9.94</v>
      </c>
      <c r="H361"/>
    </row>
    <row r="362" spans="2:8" ht="15" x14ac:dyDescent="0.2">
      <c r="B362" s="11" t="s">
        <v>498</v>
      </c>
      <c r="C362" s="25"/>
      <c r="D362" s="73">
        <v>15.47</v>
      </c>
      <c r="H362"/>
    </row>
    <row r="363" spans="2:8" ht="15" x14ac:dyDescent="0.2">
      <c r="B363" s="11" t="s">
        <v>499</v>
      </c>
      <c r="C363" s="25"/>
      <c r="D363" s="73">
        <v>17.32</v>
      </c>
      <c r="H363"/>
    </row>
    <row r="364" spans="2:8" ht="15" x14ac:dyDescent="0.2">
      <c r="B364" s="11" t="s">
        <v>500</v>
      </c>
      <c r="C364" s="25"/>
      <c r="D364" s="73">
        <v>9.2200000000000006</v>
      </c>
      <c r="H364"/>
    </row>
    <row r="365" spans="2:8" ht="15" x14ac:dyDescent="0.2">
      <c r="B365" s="58" t="s">
        <v>501</v>
      </c>
      <c r="C365" s="25"/>
      <c r="D365" s="73">
        <v>9.2200000000000006</v>
      </c>
      <c r="H365"/>
    </row>
    <row r="366" spans="2:8" ht="15" x14ac:dyDescent="0.2">
      <c r="B366" s="58" t="s">
        <v>502</v>
      </c>
      <c r="C366" s="25"/>
      <c r="D366" s="73">
        <v>10.31</v>
      </c>
      <c r="H366"/>
    </row>
    <row r="367" spans="2:8" ht="15" x14ac:dyDescent="0.2">
      <c r="B367" s="59" t="s">
        <v>149</v>
      </c>
      <c r="C367" s="25"/>
      <c r="D367" s="73">
        <v>9.69</v>
      </c>
      <c r="H367"/>
    </row>
    <row r="368" spans="2:8" ht="15" x14ac:dyDescent="0.2">
      <c r="B368" s="58" t="s">
        <v>151</v>
      </c>
      <c r="C368" s="25"/>
      <c r="D368" s="73">
        <v>7.56</v>
      </c>
      <c r="H368"/>
    </row>
    <row r="369" spans="2:8" ht="15" x14ac:dyDescent="0.2">
      <c r="B369" s="58" t="s">
        <v>152</v>
      </c>
      <c r="C369" s="25"/>
      <c r="D369" s="73">
        <v>7.67</v>
      </c>
      <c r="H369"/>
    </row>
    <row r="370" spans="2:8" ht="15" x14ac:dyDescent="0.2">
      <c r="B370" s="58" t="s">
        <v>503</v>
      </c>
      <c r="C370" s="25"/>
      <c r="D370" s="73">
        <v>12.34</v>
      </c>
      <c r="H370"/>
    </row>
    <row r="371" spans="2:8" ht="15" x14ac:dyDescent="0.2">
      <c r="B371" s="59" t="s">
        <v>504</v>
      </c>
      <c r="C371" s="25"/>
      <c r="D371" s="73">
        <v>12.99</v>
      </c>
      <c r="H371"/>
    </row>
    <row r="372" spans="2:8" ht="15" x14ac:dyDescent="0.2">
      <c r="B372" s="59" t="s">
        <v>160</v>
      </c>
      <c r="C372" s="25"/>
      <c r="D372" s="73">
        <v>18.2</v>
      </c>
      <c r="H372"/>
    </row>
    <row r="373" spans="2:8" ht="15" x14ac:dyDescent="0.2">
      <c r="B373" s="11" t="s">
        <v>169</v>
      </c>
      <c r="C373" s="25"/>
      <c r="D373" s="73">
        <v>9.15</v>
      </c>
      <c r="H373"/>
    </row>
    <row r="374" spans="2:8" ht="15" x14ac:dyDescent="0.2">
      <c r="B374" s="11"/>
      <c r="C374" s="25"/>
      <c r="D374" s="73"/>
      <c r="H374"/>
    </row>
    <row r="375" spans="2:8" ht="15" x14ac:dyDescent="0.2">
      <c r="B375" s="11" t="s">
        <v>505</v>
      </c>
      <c r="C375" s="25"/>
      <c r="D375" s="73">
        <v>11.66</v>
      </c>
      <c r="H375"/>
    </row>
    <row r="376" spans="2:8" ht="15" x14ac:dyDescent="0.2">
      <c r="B376" s="59" t="s">
        <v>506</v>
      </c>
      <c r="C376" s="25"/>
      <c r="D376" s="73">
        <v>25.6</v>
      </c>
      <c r="H376"/>
    </row>
    <row r="377" spans="2:8" ht="15" x14ac:dyDescent="0.2">
      <c r="B377" s="27" t="s">
        <v>134</v>
      </c>
      <c r="C377" s="25"/>
      <c r="D377" s="73">
        <v>5.19</v>
      </c>
      <c r="H377"/>
    </row>
    <row r="378" spans="2:8" ht="15" x14ac:dyDescent="0.2">
      <c r="B378" s="27" t="s">
        <v>507</v>
      </c>
      <c r="C378" s="25"/>
      <c r="D378" s="73">
        <v>9.09</v>
      </c>
      <c r="H378"/>
    </row>
    <row r="379" spans="2:8" ht="15" x14ac:dyDescent="0.2">
      <c r="B379" s="27" t="s">
        <v>508</v>
      </c>
      <c r="C379" s="25"/>
      <c r="D379" s="73">
        <v>6.3</v>
      </c>
      <c r="H379"/>
    </row>
    <row r="380" spans="2:8" ht="15" x14ac:dyDescent="0.2">
      <c r="B380" s="27" t="s">
        <v>509</v>
      </c>
      <c r="C380" s="25"/>
      <c r="D380" s="73">
        <v>10.44</v>
      </c>
      <c r="H380"/>
    </row>
    <row r="381" spans="2:8" ht="15" x14ac:dyDescent="0.2">
      <c r="B381" s="11" t="s">
        <v>510</v>
      </c>
      <c r="C381" s="25"/>
      <c r="D381" s="73">
        <v>9.14</v>
      </c>
      <c r="H381"/>
    </row>
    <row r="382" spans="2:8" ht="15" x14ac:dyDescent="0.2">
      <c r="B382" s="59" t="s">
        <v>511</v>
      </c>
      <c r="C382" s="25"/>
      <c r="D382" s="73">
        <v>14.64</v>
      </c>
      <c r="H382"/>
    </row>
    <row r="383" spans="2:8" ht="15" x14ac:dyDescent="0.2">
      <c r="B383" s="11" t="s">
        <v>512</v>
      </c>
      <c r="C383" s="25"/>
      <c r="D383" s="73">
        <v>8.1999999999999993</v>
      </c>
      <c r="E383" s="1"/>
      <c r="H383"/>
    </row>
    <row r="384" spans="2:8" ht="15" x14ac:dyDescent="0.2">
      <c r="B384" s="59" t="s">
        <v>513</v>
      </c>
      <c r="C384" s="25"/>
      <c r="D384" s="73">
        <v>24.5</v>
      </c>
      <c r="H384"/>
    </row>
    <row r="385" spans="2:8" ht="15" x14ac:dyDescent="0.2">
      <c r="B385" s="11" t="s">
        <v>514</v>
      </c>
      <c r="C385" s="25"/>
      <c r="D385" s="73">
        <v>5.22</v>
      </c>
      <c r="H385"/>
    </row>
    <row r="386" spans="2:8" ht="15" x14ac:dyDescent="0.2">
      <c r="B386" s="59" t="s">
        <v>515</v>
      </c>
      <c r="C386" s="25"/>
      <c r="D386" s="73">
        <v>21.23</v>
      </c>
      <c r="H386"/>
    </row>
    <row r="387" spans="2:8" ht="15" x14ac:dyDescent="0.2">
      <c r="B387" s="59" t="s">
        <v>516</v>
      </c>
      <c r="C387" s="25"/>
      <c r="D387" s="73">
        <v>0</v>
      </c>
      <c r="H387"/>
    </row>
    <row r="388" spans="2:8" ht="15" x14ac:dyDescent="0.2">
      <c r="B388" s="11" t="s">
        <v>161</v>
      </c>
      <c r="C388" s="25"/>
      <c r="D388" s="73">
        <v>3.97</v>
      </c>
      <c r="H388"/>
    </row>
    <row r="389" spans="2:8" ht="15" x14ac:dyDescent="0.2">
      <c r="B389" s="11" t="s">
        <v>517</v>
      </c>
      <c r="C389" s="25"/>
      <c r="D389" s="73">
        <v>12.79</v>
      </c>
      <c r="E389" s="1"/>
      <c r="H389"/>
    </row>
    <row r="390" spans="2:8" ht="15" x14ac:dyDescent="0.2">
      <c r="B390" s="11" t="s">
        <v>518</v>
      </c>
      <c r="C390" s="25"/>
      <c r="D390" s="73">
        <v>7.79</v>
      </c>
      <c r="H390"/>
    </row>
    <row r="391" spans="2:8" ht="15" x14ac:dyDescent="0.2">
      <c r="B391" s="59" t="s">
        <v>519</v>
      </c>
      <c r="C391" s="25"/>
      <c r="D391" s="73">
        <v>44.84</v>
      </c>
      <c r="H391"/>
    </row>
    <row r="392" spans="2:8" ht="15" x14ac:dyDescent="0.2">
      <c r="B392" s="59" t="s">
        <v>520</v>
      </c>
      <c r="C392" s="25"/>
      <c r="D392" s="73">
        <v>6.87</v>
      </c>
      <c r="H392"/>
    </row>
    <row r="393" spans="2:8" ht="15" x14ac:dyDescent="0.2">
      <c r="B393" s="59" t="s">
        <v>521</v>
      </c>
      <c r="C393" s="25"/>
      <c r="D393" s="73">
        <v>4</v>
      </c>
      <c r="H393"/>
    </row>
    <row r="394" spans="2:8" ht="15" x14ac:dyDescent="0.2">
      <c r="B394" s="11" t="s">
        <v>171</v>
      </c>
      <c r="C394" s="25"/>
      <c r="D394" s="73">
        <v>11.83</v>
      </c>
      <c r="H394"/>
    </row>
    <row r="395" spans="2:8" ht="15" x14ac:dyDescent="0.2">
      <c r="B395" s="59" t="s">
        <v>522</v>
      </c>
      <c r="C395" s="25"/>
      <c r="D395" s="73">
        <v>10.79</v>
      </c>
      <c r="H395"/>
    </row>
    <row r="396" spans="2:8" ht="15" x14ac:dyDescent="0.2">
      <c r="B396" s="59" t="s">
        <v>523</v>
      </c>
      <c r="C396" s="25"/>
      <c r="D396" s="73">
        <v>14.96</v>
      </c>
      <c r="H396"/>
    </row>
    <row r="397" spans="2:8" ht="15" x14ac:dyDescent="0.2">
      <c r="B397" s="59" t="s">
        <v>524</v>
      </c>
      <c r="C397" s="25"/>
      <c r="D397" s="73">
        <v>8.18</v>
      </c>
      <c r="H397"/>
    </row>
    <row r="398" spans="2:8" ht="15" x14ac:dyDescent="0.2">
      <c r="B398" s="59"/>
      <c r="C398" s="25"/>
      <c r="D398" s="73"/>
      <c r="H398"/>
    </row>
    <row r="399" spans="2:8" ht="15" x14ac:dyDescent="0.2">
      <c r="B399" s="11" t="s">
        <v>133</v>
      </c>
      <c r="C399" s="25"/>
      <c r="D399" s="73">
        <v>10.75</v>
      </c>
      <c r="H399"/>
    </row>
    <row r="400" spans="2:8" ht="15" x14ac:dyDescent="0.2">
      <c r="B400" s="11" t="s">
        <v>525</v>
      </c>
      <c r="C400" s="25"/>
      <c r="D400" s="73">
        <v>33.549999999999997</v>
      </c>
      <c r="H400"/>
    </row>
    <row r="401" spans="2:8" ht="15" x14ac:dyDescent="0.2">
      <c r="B401" s="11" t="s">
        <v>526</v>
      </c>
      <c r="C401" s="25"/>
      <c r="D401" s="73">
        <v>29.02</v>
      </c>
      <c r="H401"/>
    </row>
    <row r="402" spans="2:8" ht="15" x14ac:dyDescent="0.2">
      <c r="B402" s="11" t="s">
        <v>527</v>
      </c>
      <c r="C402" s="25"/>
      <c r="D402" s="73">
        <v>31.46</v>
      </c>
      <c r="H402"/>
    </row>
    <row r="403" spans="2:8" ht="15" x14ac:dyDescent="0.2">
      <c r="B403" s="11" t="s">
        <v>528</v>
      </c>
      <c r="C403" s="25"/>
      <c r="D403" s="73">
        <v>30.46</v>
      </c>
      <c r="H403"/>
    </row>
    <row r="404" spans="2:8" ht="15" x14ac:dyDescent="0.2">
      <c r="B404" s="59" t="s">
        <v>529</v>
      </c>
      <c r="C404" s="25"/>
      <c r="D404" s="73">
        <v>28.88</v>
      </c>
      <c r="E404" s="1"/>
      <c r="H404"/>
    </row>
    <row r="405" spans="2:8" ht="15" x14ac:dyDescent="0.2">
      <c r="B405" s="11" t="s">
        <v>530</v>
      </c>
      <c r="C405" s="25"/>
      <c r="D405" s="73">
        <v>30.26</v>
      </c>
      <c r="E405" s="1"/>
      <c r="H405"/>
    </row>
    <row r="406" spans="2:8" ht="15" x14ac:dyDescent="0.2">
      <c r="B406" s="11" t="s">
        <v>531</v>
      </c>
      <c r="C406" s="25"/>
      <c r="D406" s="73">
        <v>34.479999999999997</v>
      </c>
      <c r="H406"/>
    </row>
    <row r="407" spans="2:8" ht="15" x14ac:dyDescent="0.2">
      <c r="B407" s="59" t="s">
        <v>532</v>
      </c>
      <c r="C407" s="25"/>
      <c r="D407" s="73">
        <v>34</v>
      </c>
      <c r="H407"/>
    </row>
    <row r="408" spans="2:8" ht="15" x14ac:dyDescent="0.2">
      <c r="B408" s="59" t="s">
        <v>533</v>
      </c>
      <c r="C408" s="25"/>
      <c r="D408" s="73">
        <v>16.899999999999999</v>
      </c>
      <c r="H408"/>
    </row>
    <row r="409" spans="2:8" ht="15" x14ac:dyDescent="0.2">
      <c r="B409" s="11" t="s">
        <v>534</v>
      </c>
      <c r="C409" s="25"/>
      <c r="D409" s="73">
        <v>19.16</v>
      </c>
      <c r="H409"/>
    </row>
    <row r="410" spans="2:8" ht="15" x14ac:dyDescent="0.2">
      <c r="B410" s="11" t="s">
        <v>4</v>
      </c>
      <c r="C410" s="25"/>
      <c r="D410" s="73">
        <v>6.4</v>
      </c>
      <c r="H410"/>
    </row>
    <row r="411" spans="2:8" ht="15" x14ac:dyDescent="0.2">
      <c r="B411" s="11" t="s">
        <v>189</v>
      </c>
      <c r="C411" s="25"/>
      <c r="D411" s="73">
        <v>30.24</v>
      </c>
      <c r="H411"/>
    </row>
    <row r="412" spans="2:8" ht="15" x14ac:dyDescent="0.2">
      <c r="B412" s="58" t="s">
        <v>193</v>
      </c>
      <c r="C412" s="25"/>
      <c r="D412" s="73">
        <v>13.95</v>
      </c>
      <c r="H412"/>
    </row>
    <row r="413" spans="2:8" ht="15" x14ac:dyDescent="0.2">
      <c r="B413" s="11" t="s">
        <v>535</v>
      </c>
      <c r="C413" s="25"/>
      <c r="D413" s="73">
        <v>6.9</v>
      </c>
      <c r="H413"/>
    </row>
    <row r="414" spans="2:8" ht="15" x14ac:dyDescent="0.2">
      <c r="B414" s="11" t="s">
        <v>195</v>
      </c>
      <c r="C414" s="25"/>
      <c r="D414" s="73">
        <v>22.63</v>
      </c>
      <c r="H414"/>
    </row>
    <row r="415" spans="2:8" ht="15" x14ac:dyDescent="0.2">
      <c r="B415" s="11"/>
      <c r="C415" s="25"/>
      <c r="D415" s="73"/>
      <c r="H415"/>
    </row>
    <row r="416" spans="2:8" ht="15" x14ac:dyDescent="0.2">
      <c r="B416" s="11" t="s">
        <v>536</v>
      </c>
      <c r="C416" s="25"/>
      <c r="D416" s="73">
        <v>38.44</v>
      </c>
      <c r="H416"/>
    </row>
    <row r="417" spans="2:8" ht="15" x14ac:dyDescent="0.2">
      <c r="B417" s="11" t="s">
        <v>537</v>
      </c>
      <c r="C417" s="25"/>
      <c r="D417" s="73">
        <v>42.44</v>
      </c>
      <c r="H417"/>
    </row>
    <row r="418" spans="2:8" ht="15" x14ac:dyDescent="0.2">
      <c r="B418" s="59" t="s">
        <v>538</v>
      </c>
      <c r="C418" s="25"/>
      <c r="D418" s="73">
        <v>48.95</v>
      </c>
      <c r="H418"/>
    </row>
    <row r="419" spans="2:8" ht="15" x14ac:dyDescent="0.2">
      <c r="B419" s="59" t="s">
        <v>137</v>
      </c>
      <c r="C419" s="25"/>
      <c r="D419" s="73">
        <v>17.88</v>
      </c>
      <c r="H419"/>
    </row>
    <row r="420" spans="2:8" ht="15" x14ac:dyDescent="0.2">
      <c r="B420" s="11" t="s">
        <v>539</v>
      </c>
      <c r="C420" s="25"/>
      <c r="D420" s="73">
        <v>13.43</v>
      </c>
      <c r="H420"/>
    </row>
    <row r="421" spans="2:8" ht="15" x14ac:dyDescent="0.2">
      <c r="B421" s="11" t="s">
        <v>540</v>
      </c>
      <c r="C421" s="25"/>
      <c r="D421" s="73">
        <v>15.46</v>
      </c>
      <c r="H421"/>
    </row>
    <row r="422" spans="2:8" ht="15" x14ac:dyDescent="0.2">
      <c r="B422" s="11" t="s">
        <v>541</v>
      </c>
      <c r="C422" s="25"/>
      <c r="D422" s="73">
        <v>15.09</v>
      </c>
      <c r="H422"/>
    </row>
    <row r="423" spans="2:8" ht="15" x14ac:dyDescent="0.2">
      <c r="B423" s="59" t="s">
        <v>542</v>
      </c>
      <c r="C423" s="25"/>
      <c r="D423" s="73">
        <v>12.09</v>
      </c>
      <c r="H423"/>
    </row>
    <row r="424" spans="2:8" ht="15" x14ac:dyDescent="0.2">
      <c r="B424" s="59" t="s">
        <v>543</v>
      </c>
      <c r="C424" s="25"/>
      <c r="D424" s="73">
        <v>16.989999999999998</v>
      </c>
      <c r="H424"/>
    </row>
    <row r="425" spans="2:8" ht="15" x14ac:dyDescent="0.2">
      <c r="B425" s="59" t="s">
        <v>141</v>
      </c>
      <c r="C425" s="25"/>
      <c r="D425" s="73">
        <v>49.68</v>
      </c>
      <c r="H425"/>
    </row>
    <row r="426" spans="2:8" ht="15" x14ac:dyDescent="0.2">
      <c r="B426" s="59" t="s">
        <v>544</v>
      </c>
      <c r="C426" s="25"/>
      <c r="D426" s="73">
        <v>23.25</v>
      </c>
      <c r="H426"/>
    </row>
    <row r="427" spans="2:8" ht="15" x14ac:dyDescent="0.2">
      <c r="B427" s="11" t="s">
        <v>545</v>
      </c>
      <c r="C427" s="25"/>
      <c r="D427" s="73">
        <v>16.239999999999998</v>
      </c>
      <c r="H427"/>
    </row>
    <row r="428" spans="2:8" ht="15" x14ac:dyDescent="0.2">
      <c r="B428" s="61" t="s">
        <v>546</v>
      </c>
      <c r="C428" s="25"/>
      <c r="D428" s="73">
        <v>24.31</v>
      </c>
      <c r="H428"/>
    </row>
    <row r="429" spans="2:8" ht="15" x14ac:dyDescent="0.2">
      <c r="B429" s="59" t="s">
        <v>547</v>
      </c>
      <c r="C429" s="25"/>
      <c r="D429" s="73">
        <v>43.2</v>
      </c>
      <c r="H429"/>
    </row>
    <row r="430" spans="2:8" ht="15" x14ac:dyDescent="0.2">
      <c r="B430" s="59" t="s">
        <v>70</v>
      </c>
      <c r="C430" s="25"/>
      <c r="D430" s="73">
        <v>21.15</v>
      </c>
      <c r="H430"/>
    </row>
    <row r="431" spans="2:8" ht="15" x14ac:dyDescent="0.2">
      <c r="B431" s="59" t="s">
        <v>72</v>
      </c>
      <c r="C431" s="25"/>
      <c r="D431" s="73">
        <v>50.04</v>
      </c>
      <c r="H431"/>
    </row>
    <row r="432" spans="2:8" ht="15" x14ac:dyDescent="0.2">
      <c r="B432" s="59" t="s">
        <v>73</v>
      </c>
      <c r="C432" s="25"/>
      <c r="D432" s="73">
        <v>32.200000000000003</v>
      </c>
      <c r="H432"/>
    </row>
    <row r="433" spans="2:8" ht="15" x14ac:dyDescent="0.2">
      <c r="B433" s="59" t="s">
        <v>150</v>
      </c>
      <c r="C433" s="25"/>
      <c r="D433" s="73">
        <v>39.119999999999997</v>
      </c>
      <c r="H433"/>
    </row>
    <row r="434" spans="2:8" ht="15" x14ac:dyDescent="0.2">
      <c r="B434" s="58" t="s">
        <v>548</v>
      </c>
      <c r="C434" s="25"/>
      <c r="D434" s="73">
        <v>29.14</v>
      </c>
      <c r="H434"/>
    </row>
    <row r="435" spans="2:8" ht="15" x14ac:dyDescent="0.2">
      <c r="B435" s="11" t="s">
        <v>154</v>
      </c>
      <c r="C435" s="25"/>
      <c r="D435" s="73">
        <v>34.590000000000003</v>
      </c>
      <c r="H435"/>
    </row>
    <row r="436" spans="2:8" ht="15" x14ac:dyDescent="0.2">
      <c r="B436" s="59" t="s">
        <v>78</v>
      </c>
      <c r="C436" s="25"/>
      <c r="D436" s="73">
        <v>43.73</v>
      </c>
      <c r="H436"/>
    </row>
    <row r="437" spans="2:8" ht="15" x14ac:dyDescent="0.2">
      <c r="B437" s="59" t="s">
        <v>549</v>
      </c>
      <c r="C437" s="25"/>
      <c r="D437" s="73">
        <v>37.78</v>
      </c>
      <c r="H437"/>
    </row>
    <row r="438" spans="2:8" ht="15" x14ac:dyDescent="0.2">
      <c r="B438" s="59" t="s">
        <v>199</v>
      </c>
      <c r="C438" s="25"/>
      <c r="D438" s="73">
        <v>82.59</v>
      </c>
      <c r="H438"/>
    </row>
    <row r="439" spans="2:8" ht="15" x14ac:dyDescent="0.2">
      <c r="B439" s="59" t="s">
        <v>550</v>
      </c>
      <c r="C439" s="25"/>
      <c r="D439" s="73">
        <v>45.14</v>
      </c>
      <c r="H439"/>
    </row>
    <row r="440" spans="2:8" ht="15" x14ac:dyDescent="0.2">
      <c r="B440" s="59" t="s">
        <v>155</v>
      </c>
      <c r="C440" s="25"/>
      <c r="D440" s="73">
        <v>36.76</v>
      </c>
      <c r="H440"/>
    </row>
    <row r="441" spans="2:8" ht="15" x14ac:dyDescent="0.2">
      <c r="B441" s="59" t="s">
        <v>551</v>
      </c>
      <c r="C441" s="25"/>
      <c r="D441" s="73">
        <v>18.55</v>
      </c>
      <c r="H441"/>
    </row>
    <row r="442" spans="2:8" ht="15" x14ac:dyDescent="0.2">
      <c r="B442" s="23" t="s">
        <v>156</v>
      </c>
      <c r="C442" s="25"/>
      <c r="D442" s="73">
        <v>26</v>
      </c>
      <c r="H442"/>
    </row>
    <row r="443" spans="2:8" ht="15" x14ac:dyDescent="0.2">
      <c r="B443" s="23" t="s">
        <v>552</v>
      </c>
      <c r="C443" s="25"/>
      <c r="D443" s="73">
        <v>87.71</v>
      </c>
      <c r="H443"/>
    </row>
    <row r="444" spans="2:8" ht="15" x14ac:dyDescent="0.2">
      <c r="B444" s="59" t="s">
        <v>553</v>
      </c>
      <c r="C444" s="25"/>
      <c r="D444" s="73">
        <v>74.42</v>
      </c>
      <c r="H444"/>
    </row>
    <row r="445" spans="2:8" ht="15" x14ac:dyDescent="0.2">
      <c r="B445" s="59" t="s">
        <v>79</v>
      </c>
      <c r="C445" s="25"/>
      <c r="D445" s="73">
        <v>38.17</v>
      </c>
      <c r="H445"/>
    </row>
    <row r="446" spans="2:8" ht="15" x14ac:dyDescent="0.2">
      <c r="B446" s="59" t="s">
        <v>157</v>
      </c>
      <c r="C446" s="25"/>
      <c r="D446" s="73">
        <v>26.91</v>
      </c>
      <c r="H446"/>
    </row>
    <row r="447" spans="2:8" ht="15" x14ac:dyDescent="0.2">
      <c r="B447" s="59" t="s">
        <v>554</v>
      </c>
      <c r="C447" s="25"/>
      <c r="D447" s="73">
        <v>17.37</v>
      </c>
      <c r="H447"/>
    </row>
    <row r="448" spans="2:8" ht="15" x14ac:dyDescent="0.2">
      <c r="B448" s="59" t="s">
        <v>555</v>
      </c>
      <c r="C448" s="25"/>
      <c r="D448" s="73">
        <v>16.170000000000002</v>
      </c>
      <c r="H448"/>
    </row>
    <row r="449" spans="2:8" ht="15" x14ac:dyDescent="0.2">
      <c r="B449" s="59" t="s">
        <v>556</v>
      </c>
      <c r="C449" s="25"/>
      <c r="D449" s="73">
        <v>16.18</v>
      </c>
      <c r="H449"/>
    </row>
    <row r="450" spans="2:8" ht="15" x14ac:dyDescent="0.2">
      <c r="B450" s="59" t="s">
        <v>557</v>
      </c>
      <c r="C450" s="25"/>
      <c r="D450" s="73">
        <v>17.8</v>
      </c>
      <c r="H450"/>
    </row>
    <row r="451" spans="2:8" ht="15" x14ac:dyDescent="0.2">
      <c r="B451" s="59" t="s">
        <v>558</v>
      </c>
      <c r="C451" s="25"/>
      <c r="D451" s="73">
        <v>14.06</v>
      </c>
      <c r="H451"/>
    </row>
    <row r="452" spans="2:8" ht="15" x14ac:dyDescent="0.2">
      <c r="B452" s="11" t="s">
        <v>559</v>
      </c>
      <c r="C452" s="25"/>
      <c r="D452" s="73">
        <v>12.44</v>
      </c>
      <c r="H452"/>
    </row>
    <row r="453" spans="2:8" ht="15" x14ac:dyDescent="0.2">
      <c r="B453" s="11" t="s">
        <v>560</v>
      </c>
      <c r="C453" s="25"/>
      <c r="D453" s="73">
        <v>224.79</v>
      </c>
      <c r="H453"/>
    </row>
    <row r="454" spans="2:8" ht="15" x14ac:dyDescent="0.2">
      <c r="B454" s="11" t="s">
        <v>561</v>
      </c>
      <c r="C454" s="25"/>
      <c r="D454" s="73">
        <v>224.79</v>
      </c>
      <c r="H454"/>
    </row>
    <row r="455" spans="2:8" ht="15" x14ac:dyDescent="0.2">
      <c r="B455" s="11" t="s">
        <v>562</v>
      </c>
      <c r="C455" s="25"/>
      <c r="D455" s="73"/>
      <c r="H455"/>
    </row>
    <row r="456" spans="2:8" ht="15" x14ac:dyDescent="0.2">
      <c r="B456" s="11" t="s">
        <v>563</v>
      </c>
      <c r="C456" s="25"/>
      <c r="D456" s="73"/>
      <c r="H456"/>
    </row>
    <row r="457" spans="2:8" ht="15" x14ac:dyDescent="0.2">
      <c r="B457" s="11" t="s">
        <v>564</v>
      </c>
      <c r="C457" s="25"/>
      <c r="D457" s="73">
        <v>66.739999999999995</v>
      </c>
      <c r="H457"/>
    </row>
    <row r="458" spans="2:8" ht="15" x14ac:dyDescent="0.2">
      <c r="B458" s="11" t="s">
        <v>565</v>
      </c>
      <c r="C458" s="25"/>
      <c r="D458" s="73">
        <v>66.739999999999995</v>
      </c>
      <c r="H458"/>
    </row>
    <row r="459" spans="2:8" ht="15" x14ac:dyDescent="0.2">
      <c r="B459" s="11" t="s">
        <v>566</v>
      </c>
      <c r="C459" s="25"/>
      <c r="D459" s="73">
        <v>66.739999999999995</v>
      </c>
      <c r="H459"/>
    </row>
    <row r="460" spans="2:8" ht="15" x14ac:dyDescent="0.2">
      <c r="B460" s="11" t="s">
        <v>567</v>
      </c>
      <c r="C460" s="25"/>
      <c r="D460" s="73">
        <v>66.739999999999995</v>
      </c>
      <c r="H460"/>
    </row>
    <row r="461" spans="2:8" ht="15" x14ac:dyDescent="0.2">
      <c r="B461" s="11" t="s">
        <v>568</v>
      </c>
      <c r="C461" s="25"/>
      <c r="D461" s="73">
        <v>66.739999999999995</v>
      </c>
      <c r="H461"/>
    </row>
    <row r="462" spans="2:8" ht="15" x14ac:dyDescent="0.2">
      <c r="B462" s="11" t="s">
        <v>569</v>
      </c>
      <c r="C462" s="25"/>
      <c r="D462" s="73">
        <v>66.739999999999995</v>
      </c>
      <c r="H462"/>
    </row>
    <row r="463" spans="2:8" ht="15" x14ac:dyDescent="0.2">
      <c r="B463" s="11" t="s">
        <v>570</v>
      </c>
      <c r="C463" s="25"/>
      <c r="D463" s="73">
        <v>24.08</v>
      </c>
      <c r="H463"/>
    </row>
    <row r="464" spans="2:8" ht="15" x14ac:dyDescent="0.2">
      <c r="B464" s="59" t="s">
        <v>571</v>
      </c>
      <c r="C464" s="25"/>
      <c r="D464" s="73">
        <v>19.04</v>
      </c>
      <c r="H464"/>
    </row>
    <row r="465" spans="2:8" ht="15" x14ac:dyDescent="0.2">
      <c r="B465" s="59" t="s">
        <v>572</v>
      </c>
      <c r="C465" s="25"/>
      <c r="D465" s="73">
        <v>186.65</v>
      </c>
      <c r="H465"/>
    </row>
    <row r="466" spans="2:8" ht="15" x14ac:dyDescent="0.2">
      <c r="B466" s="59" t="s">
        <v>573</v>
      </c>
      <c r="C466" s="25"/>
      <c r="D466" s="73">
        <v>143.96</v>
      </c>
      <c r="H466"/>
    </row>
    <row r="467" spans="2:8" ht="15" x14ac:dyDescent="0.2">
      <c r="B467" s="59" t="s">
        <v>201</v>
      </c>
      <c r="C467" s="25"/>
      <c r="D467" s="73">
        <v>28.63</v>
      </c>
      <c r="H467"/>
    </row>
    <row r="468" spans="2:8" ht="15" x14ac:dyDescent="0.2">
      <c r="B468" s="59" t="s">
        <v>158</v>
      </c>
      <c r="C468" s="25"/>
      <c r="D468" s="73">
        <v>54.28</v>
      </c>
      <c r="H468"/>
    </row>
    <row r="469" spans="2:8" ht="15" x14ac:dyDescent="0.2">
      <c r="B469" s="59" t="s">
        <v>574</v>
      </c>
      <c r="C469" s="25"/>
      <c r="D469" s="73"/>
      <c r="H469"/>
    </row>
    <row r="470" spans="2:8" ht="15" x14ac:dyDescent="0.2">
      <c r="B470" s="11" t="s">
        <v>575</v>
      </c>
      <c r="C470" s="25"/>
      <c r="D470" s="73">
        <v>55.06</v>
      </c>
      <c r="H470"/>
    </row>
    <row r="471" spans="2:8" ht="15" x14ac:dyDescent="0.2">
      <c r="B471" s="59" t="s">
        <v>576</v>
      </c>
      <c r="C471" s="25"/>
      <c r="D471" s="73">
        <v>44.58</v>
      </c>
      <c r="H471"/>
    </row>
    <row r="472" spans="2:8" ht="15" x14ac:dyDescent="0.2">
      <c r="B472" s="59" t="s">
        <v>164</v>
      </c>
      <c r="C472" s="25"/>
      <c r="D472" s="73">
        <v>32.49</v>
      </c>
      <c r="H472"/>
    </row>
    <row r="473" spans="2:8" ht="15" x14ac:dyDescent="0.2">
      <c r="B473" s="59" t="s">
        <v>165</v>
      </c>
      <c r="C473" s="25"/>
      <c r="D473" s="73">
        <v>69.69</v>
      </c>
      <c r="H473"/>
    </row>
    <row r="474" spans="2:8" ht="15" x14ac:dyDescent="0.2">
      <c r="B474" s="11" t="s">
        <v>174</v>
      </c>
      <c r="C474" s="25"/>
      <c r="D474" s="73">
        <v>9.39</v>
      </c>
      <c r="H474"/>
    </row>
    <row r="475" spans="2:8" ht="15" x14ac:dyDescent="0.2">
      <c r="B475" s="58" t="s">
        <v>177</v>
      </c>
      <c r="C475" s="25"/>
      <c r="D475" s="73">
        <v>42.5</v>
      </c>
      <c r="H475"/>
    </row>
    <row r="476" spans="2:8" ht="15" x14ac:dyDescent="0.2">
      <c r="B476" s="58" t="s">
        <v>577</v>
      </c>
      <c r="C476" s="25"/>
      <c r="D476" s="73"/>
      <c r="H476"/>
    </row>
    <row r="477" spans="2:8" ht="15" x14ac:dyDescent="0.2">
      <c r="B477" s="59" t="s">
        <v>190</v>
      </c>
      <c r="C477" s="25"/>
      <c r="D477" s="73">
        <v>73.75</v>
      </c>
      <c r="H477"/>
    </row>
    <row r="478" spans="2:8" ht="15" x14ac:dyDescent="0.2">
      <c r="B478" s="59" t="s">
        <v>83</v>
      </c>
      <c r="C478" s="25"/>
      <c r="D478" s="73">
        <v>41.38</v>
      </c>
      <c r="H478"/>
    </row>
    <row r="479" spans="2:8" ht="15" x14ac:dyDescent="0.2">
      <c r="B479" s="59" t="s">
        <v>192</v>
      </c>
      <c r="C479" s="25"/>
      <c r="D479" s="73">
        <v>13.91</v>
      </c>
      <c r="H479"/>
    </row>
    <row r="480" spans="2:8" ht="15" x14ac:dyDescent="0.2">
      <c r="C480" s="88"/>
      <c r="D480" s="89"/>
      <c r="H480"/>
    </row>
    <row r="481" spans="3:8" ht="15" x14ac:dyDescent="0.2">
      <c r="C481" s="88"/>
      <c r="D481" s="89"/>
      <c r="H481"/>
    </row>
    <row r="482" spans="3:8" ht="15" x14ac:dyDescent="0.2">
      <c r="C482" s="88"/>
      <c r="D482" s="89"/>
      <c r="H482"/>
    </row>
  </sheetData>
  <sortState xmlns:xlrd2="http://schemas.microsoft.com/office/spreadsheetml/2017/richdata2" ref="B156:E176">
    <sortCondition ref="B156:B176"/>
  </sortState>
  <conditionalFormatting sqref="B101:B102">
    <cfRule type="duplicateValues" dxfId="15" priority="3"/>
  </conditionalFormatting>
  <conditionalFormatting sqref="B103:B140 B20:B100">
    <cfRule type="duplicateValues" dxfId="14" priority="8"/>
  </conditionalFormatting>
  <conditionalFormatting sqref="B186">
    <cfRule type="duplicateValues" dxfId="13" priority="1"/>
  </conditionalFormatting>
  <conditionalFormatting sqref="B249:B338 B187:B236 B149:B185">
    <cfRule type="duplicateValues" dxfId="12" priority="4"/>
  </conditionalFormatting>
  <conditionalFormatting sqref="B350:B407">
    <cfRule type="duplicateValues" dxfId="11" priority="7"/>
  </conditionalFormatting>
  <conditionalFormatting sqref="B432:B472">
    <cfRule type="duplicateValues" dxfId="10" priority="5"/>
  </conditionalFormatting>
  <conditionalFormatting sqref="B475:B479">
    <cfRule type="duplicateValues" dxfId="9" priority="6"/>
  </conditionalFormatting>
  <conditionalFormatting sqref="B148:C148">
    <cfRule type="duplicateValues" dxfId="8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4"/>
  <dimension ref="B2:L116"/>
  <sheetViews>
    <sheetView topLeftCell="A7" zoomScale="135" workbookViewId="0">
      <selection activeCell="C7" sqref="C7:D32"/>
    </sheetView>
  </sheetViews>
  <sheetFormatPr defaultColWidth="11.765625" defaultRowHeight="13.5" x14ac:dyDescent="0.15"/>
  <cols>
    <col min="2" max="2" width="19.3671875" bestFit="1" customWidth="1"/>
    <col min="3" max="3" width="8.82421875" bestFit="1" customWidth="1"/>
    <col min="8" max="8" width="15.19921875" bestFit="1" customWidth="1"/>
  </cols>
  <sheetData>
    <row r="2" spans="2:12" ht="15" x14ac:dyDescent="0.2">
      <c r="B2" s="236" t="s">
        <v>32</v>
      </c>
      <c r="C2" s="236"/>
      <c r="D2" s="236"/>
      <c r="E2" s="15"/>
      <c r="F2" s="15"/>
      <c r="H2" s="11" t="s">
        <v>12</v>
      </c>
      <c r="I2" s="11">
        <v>50</v>
      </c>
      <c r="J2" s="11">
        <v>1000</v>
      </c>
      <c r="K2" s="12">
        <v>10.96</v>
      </c>
      <c r="L2" s="12">
        <f>(K2*I2)/J2</f>
        <v>0.54800000000000004</v>
      </c>
    </row>
    <row r="3" spans="2:12" ht="15" x14ac:dyDescent="0.2">
      <c r="B3" s="66"/>
      <c r="C3" s="65"/>
      <c r="D3" s="65"/>
      <c r="E3" s="15"/>
      <c r="F3" s="15"/>
      <c r="H3" s="11" t="s">
        <v>114</v>
      </c>
      <c r="I3" s="11">
        <v>25</v>
      </c>
      <c r="J3" s="11">
        <v>1000</v>
      </c>
      <c r="K3" s="12">
        <v>1.99</v>
      </c>
      <c r="L3" s="12">
        <f t="shared" ref="L3" si="0">(K3*I3)/J3</f>
        <v>4.9750000000000003E-2</v>
      </c>
    </row>
    <row r="4" spans="2:12" ht="15" x14ac:dyDescent="0.2">
      <c r="B4" s="62" t="s">
        <v>33</v>
      </c>
      <c r="C4" s="63" t="s">
        <v>1209</v>
      </c>
      <c r="D4" s="63" t="s">
        <v>34</v>
      </c>
      <c r="E4" s="16"/>
      <c r="F4" s="16"/>
      <c r="H4" s="10" t="s">
        <v>48</v>
      </c>
      <c r="I4" s="11">
        <f>SUM(I2:I3)</f>
        <v>75</v>
      </c>
      <c r="J4" s="11"/>
      <c r="K4" s="11"/>
      <c r="L4" s="12">
        <f>SUM(L2:L3)</f>
        <v>0.59775</v>
      </c>
    </row>
    <row r="5" spans="2:12" ht="15" x14ac:dyDescent="0.2">
      <c r="B5" s="64"/>
      <c r="C5" s="65"/>
      <c r="D5" s="65"/>
      <c r="E5" s="16"/>
      <c r="F5" s="16"/>
      <c r="H5" s="11" t="s">
        <v>52</v>
      </c>
      <c r="I5" s="20">
        <f>J5/I4</f>
        <v>9.3333333333333339</v>
      </c>
      <c r="J5" s="11">
        <v>700</v>
      </c>
      <c r="K5" s="11"/>
      <c r="L5" s="12">
        <f>L4*I5</f>
        <v>5.5790000000000006</v>
      </c>
    </row>
    <row r="6" spans="2:12" ht="15" x14ac:dyDescent="0.2">
      <c r="B6" s="23" t="s">
        <v>807</v>
      </c>
      <c r="C6" s="24"/>
      <c r="D6" s="22"/>
      <c r="E6" s="17"/>
      <c r="F6" s="18"/>
      <c r="H6" s="10" t="s">
        <v>53</v>
      </c>
      <c r="I6" s="11"/>
      <c r="J6" s="11">
        <v>700</v>
      </c>
      <c r="K6" s="11"/>
      <c r="L6" s="12">
        <f>L5*I6</f>
        <v>0</v>
      </c>
    </row>
    <row r="7" spans="2:12" ht="15" x14ac:dyDescent="0.2">
      <c r="B7" s="23" t="s">
        <v>95</v>
      </c>
      <c r="C7" s="24"/>
      <c r="D7" s="22"/>
      <c r="E7" s="17"/>
      <c r="F7" s="18"/>
      <c r="H7" s="10"/>
      <c r="I7" s="11"/>
      <c r="J7" s="11"/>
      <c r="K7" s="11"/>
      <c r="L7" s="12"/>
    </row>
    <row r="8" spans="2:12" ht="15" x14ac:dyDescent="0.2">
      <c r="B8" s="23" t="s">
        <v>96</v>
      </c>
      <c r="C8" s="24"/>
      <c r="D8" s="22"/>
      <c r="E8" s="17"/>
      <c r="F8" s="18"/>
      <c r="H8" s="19"/>
      <c r="I8" s="19"/>
      <c r="J8" s="19"/>
      <c r="K8" s="19"/>
      <c r="L8" s="19"/>
    </row>
    <row r="9" spans="2:12" ht="15" x14ac:dyDescent="0.2">
      <c r="B9" s="23" t="s">
        <v>1287</v>
      </c>
      <c r="C9" s="25"/>
      <c r="D9" s="11"/>
      <c r="H9" s="19"/>
      <c r="I9" s="19"/>
      <c r="J9" s="19"/>
      <c r="K9" s="19"/>
      <c r="L9" s="19"/>
    </row>
    <row r="10" spans="2:12" ht="15" x14ac:dyDescent="0.2">
      <c r="B10" s="23" t="s">
        <v>97</v>
      </c>
      <c r="C10" s="25"/>
      <c r="D10" s="11"/>
      <c r="H10" s="21" t="s">
        <v>96</v>
      </c>
      <c r="I10" s="19"/>
      <c r="J10" s="19"/>
      <c r="K10" s="19"/>
      <c r="L10" s="19"/>
    </row>
    <row r="11" spans="2:12" ht="15" x14ac:dyDescent="0.2">
      <c r="B11" s="23" t="s">
        <v>93</v>
      </c>
      <c r="C11" s="25"/>
      <c r="D11" s="11"/>
      <c r="H11" s="11" t="s">
        <v>112</v>
      </c>
      <c r="I11" s="11">
        <v>50</v>
      </c>
      <c r="J11" s="11">
        <v>700</v>
      </c>
      <c r="K11" s="12">
        <v>12</v>
      </c>
      <c r="L11" s="12">
        <f>(K11*I11)/J11</f>
        <v>0.8571428571428571</v>
      </c>
    </row>
    <row r="12" spans="2:12" ht="15" x14ac:dyDescent="0.2">
      <c r="B12" s="23" t="s">
        <v>98</v>
      </c>
      <c r="C12" s="25"/>
      <c r="D12" s="11"/>
      <c r="H12" s="11" t="s">
        <v>113</v>
      </c>
      <c r="I12" s="11">
        <v>45</v>
      </c>
      <c r="J12" s="11">
        <v>700</v>
      </c>
      <c r="K12" s="12">
        <v>7.29</v>
      </c>
      <c r="L12" s="12">
        <f t="shared" ref="L12:L13" si="1">(K12*I12)/J12</f>
        <v>0.46864285714285714</v>
      </c>
    </row>
    <row r="13" spans="2:12" ht="15" x14ac:dyDescent="0.2">
      <c r="B13" s="23" t="s">
        <v>99</v>
      </c>
      <c r="C13" s="25"/>
      <c r="D13" s="11"/>
      <c r="H13" s="10" t="s">
        <v>103</v>
      </c>
      <c r="I13" s="11">
        <v>25</v>
      </c>
      <c r="J13" s="11">
        <v>1000</v>
      </c>
      <c r="K13" s="11">
        <v>1.99</v>
      </c>
      <c r="L13" s="12">
        <f t="shared" si="1"/>
        <v>4.9750000000000003E-2</v>
      </c>
    </row>
    <row r="14" spans="2:12" ht="15" x14ac:dyDescent="0.2">
      <c r="B14" s="23" t="s">
        <v>100</v>
      </c>
      <c r="C14" s="25"/>
      <c r="D14" s="11"/>
      <c r="H14" s="10" t="s">
        <v>48</v>
      </c>
      <c r="I14" s="11">
        <f>SUM(I11:I13)</f>
        <v>120</v>
      </c>
      <c r="J14" s="11"/>
      <c r="K14" s="11"/>
      <c r="L14" s="12">
        <f>SUM(L11:L13)</f>
        <v>1.3755357142857143</v>
      </c>
    </row>
    <row r="15" spans="2:12" ht="15" x14ac:dyDescent="0.2">
      <c r="B15" s="23" t="s">
        <v>101</v>
      </c>
      <c r="C15" s="25"/>
      <c r="D15" s="11"/>
      <c r="H15" s="11" t="s">
        <v>52</v>
      </c>
      <c r="I15" s="20">
        <f>J15/I14</f>
        <v>5.833333333333333</v>
      </c>
      <c r="J15" s="11">
        <v>700</v>
      </c>
      <c r="K15" s="11"/>
      <c r="L15" s="12">
        <f>L14*I15</f>
        <v>8.0239583333333329</v>
      </c>
    </row>
    <row r="16" spans="2:12" ht="15" x14ac:dyDescent="0.2">
      <c r="B16" s="23" t="s">
        <v>102</v>
      </c>
      <c r="C16" s="25"/>
      <c r="D16" s="11"/>
      <c r="H16" s="10" t="s">
        <v>53</v>
      </c>
      <c r="I16" s="11">
        <f>C8</f>
        <v>0</v>
      </c>
      <c r="J16" s="11">
        <v>700</v>
      </c>
      <c r="K16" s="11"/>
      <c r="L16" s="12">
        <f>L15*I16</f>
        <v>0</v>
      </c>
    </row>
    <row r="17" spans="2:12" ht="15" x14ac:dyDescent="0.2">
      <c r="B17" s="23" t="s">
        <v>103</v>
      </c>
      <c r="C17" s="25"/>
      <c r="D17" s="11"/>
      <c r="H17" s="10"/>
      <c r="I17" s="11"/>
      <c r="J17" s="11"/>
      <c r="K17" s="11"/>
      <c r="L17" s="12"/>
    </row>
    <row r="18" spans="2:12" ht="15" x14ac:dyDescent="0.2">
      <c r="B18" s="23" t="s">
        <v>104</v>
      </c>
      <c r="C18" s="25"/>
      <c r="D18" s="11"/>
      <c r="H18" s="19"/>
      <c r="I18" s="19"/>
      <c r="J18" s="19"/>
      <c r="K18" s="19"/>
      <c r="L18" s="19"/>
    </row>
    <row r="19" spans="2:12" ht="15" x14ac:dyDescent="0.2">
      <c r="B19" s="23" t="s">
        <v>105</v>
      </c>
      <c r="C19" s="25"/>
      <c r="D19" s="11"/>
      <c r="H19" s="4" t="s">
        <v>93</v>
      </c>
      <c r="I19" s="19"/>
      <c r="J19" s="19"/>
      <c r="K19" s="19"/>
      <c r="L19" s="19"/>
    </row>
    <row r="20" spans="2:12" ht="15" x14ac:dyDescent="0.2">
      <c r="B20" s="23" t="s">
        <v>106</v>
      </c>
      <c r="C20" s="25"/>
      <c r="D20" s="11"/>
      <c r="H20" s="11" t="s">
        <v>24</v>
      </c>
      <c r="I20" s="11">
        <v>15</v>
      </c>
      <c r="J20" s="11">
        <v>700</v>
      </c>
      <c r="K20" s="12">
        <v>20.55</v>
      </c>
      <c r="L20" s="12">
        <f>(K20*I20)/J20</f>
        <v>0.44035714285714284</v>
      </c>
    </row>
    <row r="21" spans="2:12" ht="15" x14ac:dyDescent="0.2">
      <c r="B21" s="23" t="s">
        <v>58</v>
      </c>
      <c r="C21" s="25"/>
      <c r="D21" s="11"/>
      <c r="H21" s="11" t="s">
        <v>118</v>
      </c>
      <c r="I21" s="11">
        <v>50</v>
      </c>
      <c r="J21" s="11">
        <v>700</v>
      </c>
      <c r="K21" s="12">
        <v>11</v>
      </c>
      <c r="L21" s="12">
        <f t="shared" ref="L21:L23" si="2">(K21*I21)/J21</f>
        <v>0.7857142857142857</v>
      </c>
    </row>
    <row r="22" spans="2:12" ht="15" x14ac:dyDescent="0.2">
      <c r="B22" s="23" t="s">
        <v>107</v>
      </c>
      <c r="C22" s="25"/>
      <c r="D22" s="11"/>
      <c r="H22" s="11" t="s">
        <v>111</v>
      </c>
      <c r="I22" s="11">
        <v>25</v>
      </c>
      <c r="J22" s="11">
        <v>1000</v>
      </c>
      <c r="K22" s="12">
        <v>1.99</v>
      </c>
      <c r="L22" s="12">
        <f t="shared" si="2"/>
        <v>4.9750000000000003E-2</v>
      </c>
    </row>
    <row r="23" spans="2:12" ht="15" x14ac:dyDescent="0.2">
      <c r="B23" s="23" t="s">
        <v>757</v>
      </c>
      <c r="C23" s="25"/>
      <c r="D23" s="11"/>
      <c r="H23" s="10" t="s">
        <v>119</v>
      </c>
      <c r="I23" s="11">
        <v>15</v>
      </c>
      <c r="J23" s="11">
        <v>700</v>
      </c>
      <c r="K23" s="11">
        <v>12.55</v>
      </c>
      <c r="L23" s="12">
        <f t="shared" si="2"/>
        <v>0.26892857142857141</v>
      </c>
    </row>
    <row r="24" spans="2:12" ht="15" x14ac:dyDescent="0.2">
      <c r="B24" s="23" t="s">
        <v>1308</v>
      </c>
      <c r="C24" s="25"/>
      <c r="D24" s="11"/>
      <c r="H24" s="10" t="s">
        <v>48</v>
      </c>
      <c r="I24" s="11">
        <f>SUM(I20:I23)</f>
        <v>105</v>
      </c>
      <c r="J24" s="11"/>
      <c r="K24" s="11"/>
      <c r="L24" s="12">
        <f>SUM(L20:L23)</f>
        <v>1.5447499999999998</v>
      </c>
    </row>
    <row r="25" spans="2:12" ht="15" x14ac:dyDescent="0.2">
      <c r="B25" s="23" t="s">
        <v>787</v>
      </c>
      <c r="C25" s="25"/>
      <c r="D25" s="11"/>
      <c r="H25" s="11" t="s">
        <v>52</v>
      </c>
      <c r="I25" s="20">
        <f>J25/I24</f>
        <v>6.666666666666667</v>
      </c>
      <c r="J25" s="11">
        <v>700</v>
      </c>
      <c r="K25" s="11"/>
      <c r="L25" s="12">
        <f>L24*I25</f>
        <v>10.298333333333332</v>
      </c>
    </row>
    <row r="26" spans="2:12" ht="15" x14ac:dyDescent="0.2">
      <c r="B26" s="23" t="s">
        <v>821</v>
      </c>
      <c r="C26" s="25"/>
      <c r="D26" s="11"/>
      <c r="H26" s="10" t="s">
        <v>53</v>
      </c>
      <c r="I26" s="11">
        <f>C11</f>
        <v>0</v>
      </c>
      <c r="J26" s="11">
        <v>700</v>
      </c>
      <c r="K26" s="11"/>
      <c r="L26" s="12">
        <f>L25*I26</f>
        <v>0</v>
      </c>
    </row>
    <row r="27" spans="2:12" ht="15" x14ac:dyDescent="0.2">
      <c r="B27" s="23" t="s">
        <v>836</v>
      </c>
      <c r="C27" s="25"/>
      <c r="D27" s="11"/>
      <c r="H27" s="10"/>
      <c r="I27" s="11"/>
      <c r="J27" s="11"/>
      <c r="K27" s="11"/>
      <c r="L27" s="12"/>
    </row>
    <row r="28" spans="2:12" ht="15" x14ac:dyDescent="0.2">
      <c r="B28" s="23"/>
      <c r="C28" s="25"/>
      <c r="D28" s="11"/>
      <c r="H28" s="19"/>
      <c r="I28" s="19"/>
      <c r="J28" s="19"/>
      <c r="K28" s="19"/>
      <c r="L28" s="19"/>
    </row>
    <row r="29" spans="2:12" ht="15" x14ac:dyDescent="0.2">
      <c r="B29" s="23"/>
      <c r="C29" s="25"/>
      <c r="D29" s="11"/>
      <c r="H29" s="21" t="s">
        <v>99</v>
      </c>
    </row>
    <row r="30" spans="2:12" ht="15" x14ac:dyDescent="0.2">
      <c r="B30" s="23"/>
      <c r="C30" s="25"/>
      <c r="D30" s="11"/>
      <c r="H30" s="11" t="s">
        <v>120</v>
      </c>
      <c r="I30" s="11">
        <v>10</v>
      </c>
      <c r="J30" s="11">
        <v>700</v>
      </c>
      <c r="K30" s="12">
        <v>9.18</v>
      </c>
      <c r="L30" s="12">
        <f>(K30*I30)/J30</f>
        <v>0.13114285714285714</v>
      </c>
    </row>
    <row r="31" spans="2:12" ht="15" x14ac:dyDescent="0.2">
      <c r="B31" s="23"/>
      <c r="C31" s="25"/>
      <c r="D31" s="11"/>
      <c r="H31" s="11" t="s">
        <v>118</v>
      </c>
      <c r="I31" s="11">
        <v>10</v>
      </c>
      <c r="J31" s="11">
        <v>700</v>
      </c>
      <c r="K31" s="12">
        <v>11</v>
      </c>
      <c r="L31" s="12">
        <f t="shared" ref="L31:L36" si="3">(K31*I31)/J31</f>
        <v>0.15714285714285714</v>
      </c>
    </row>
    <row r="32" spans="2:12" ht="15" x14ac:dyDescent="0.2">
      <c r="B32" s="23"/>
      <c r="C32" s="25"/>
      <c r="D32" s="11"/>
      <c r="H32" s="11" t="s">
        <v>112</v>
      </c>
      <c r="I32" s="11">
        <v>10</v>
      </c>
      <c r="J32" s="11">
        <v>700</v>
      </c>
      <c r="K32" s="12">
        <v>12</v>
      </c>
      <c r="L32" s="12">
        <f t="shared" si="3"/>
        <v>0.17142857142857143</v>
      </c>
    </row>
    <row r="33" spans="3:12" ht="15" x14ac:dyDescent="0.2">
      <c r="H33" s="11" t="s">
        <v>121</v>
      </c>
      <c r="I33" s="11">
        <v>10</v>
      </c>
      <c r="J33" s="11">
        <v>700</v>
      </c>
      <c r="K33" s="12">
        <v>18</v>
      </c>
      <c r="L33" s="12">
        <f t="shared" si="3"/>
        <v>0.25714285714285712</v>
      </c>
    </row>
    <row r="34" spans="3:12" ht="15" x14ac:dyDescent="0.2">
      <c r="C34" s="1" t="s">
        <v>3</v>
      </c>
      <c r="D34" s="186">
        <f>L6+L16+L26+L39+L48+L76+L89+L96+L106+L57+L66+L116</f>
        <v>18.359333333333336</v>
      </c>
      <c r="H34" s="11" t="s">
        <v>122</v>
      </c>
      <c r="I34" s="11">
        <v>10</v>
      </c>
      <c r="J34" s="11">
        <v>1400</v>
      </c>
      <c r="K34" s="12">
        <v>27.52</v>
      </c>
      <c r="L34" s="12">
        <f t="shared" si="3"/>
        <v>0.19657142857142856</v>
      </c>
    </row>
    <row r="35" spans="3:12" ht="15" x14ac:dyDescent="0.2">
      <c r="H35" s="11" t="s">
        <v>111</v>
      </c>
      <c r="I35" s="11">
        <v>30</v>
      </c>
      <c r="J35" s="11">
        <v>1000</v>
      </c>
      <c r="K35" s="12">
        <v>1.99</v>
      </c>
      <c r="L35" s="12">
        <f t="shared" si="3"/>
        <v>5.9700000000000003E-2</v>
      </c>
    </row>
    <row r="36" spans="3:12" ht="15" x14ac:dyDescent="0.2">
      <c r="H36" s="10" t="s">
        <v>37</v>
      </c>
      <c r="I36" s="11">
        <v>25</v>
      </c>
      <c r="J36" s="11">
        <v>1000</v>
      </c>
      <c r="K36" s="11">
        <v>11.26</v>
      </c>
      <c r="L36" s="12">
        <f t="shared" si="3"/>
        <v>0.28149999999999997</v>
      </c>
    </row>
    <row r="37" spans="3:12" ht="15" x14ac:dyDescent="0.2">
      <c r="H37" s="10" t="s">
        <v>48</v>
      </c>
      <c r="I37" s="11">
        <f>SUM(I30:I36)</f>
        <v>105</v>
      </c>
      <c r="J37" s="11"/>
      <c r="K37" s="11"/>
      <c r="L37" s="12">
        <f>SUM(L30:L36)</f>
        <v>1.2546285714285714</v>
      </c>
    </row>
    <row r="38" spans="3:12" ht="15" x14ac:dyDescent="0.2">
      <c r="H38" s="11" t="s">
        <v>52</v>
      </c>
      <c r="I38" s="20">
        <f>J38/I37</f>
        <v>6.666666666666667</v>
      </c>
      <c r="J38" s="11">
        <v>700</v>
      </c>
      <c r="K38" s="11"/>
      <c r="L38" s="12">
        <f>L37*I38</f>
        <v>8.3641904761904762</v>
      </c>
    </row>
    <row r="39" spans="3:12" ht="15" x14ac:dyDescent="0.2">
      <c r="H39" s="10" t="s">
        <v>53</v>
      </c>
      <c r="I39" s="11">
        <f>C13</f>
        <v>0</v>
      </c>
      <c r="J39" s="11">
        <v>700</v>
      </c>
      <c r="K39" s="11"/>
      <c r="L39" s="12">
        <f>L38*I39</f>
        <v>0</v>
      </c>
    </row>
    <row r="40" spans="3:12" ht="15" x14ac:dyDescent="0.2">
      <c r="H40" s="10" t="s">
        <v>1021</v>
      </c>
      <c r="I40" s="11">
        <f>J40/I37</f>
        <v>0</v>
      </c>
      <c r="J40" s="11">
        <f>D13</f>
        <v>0</v>
      </c>
      <c r="K40" s="11"/>
      <c r="L40" s="12"/>
    </row>
    <row r="42" spans="3:12" ht="15" x14ac:dyDescent="0.15">
      <c r="H42" s="21" t="s">
        <v>100</v>
      </c>
    </row>
    <row r="43" spans="3:12" ht="15" x14ac:dyDescent="0.2">
      <c r="H43" s="11" t="s">
        <v>15</v>
      </c>
      <c r="I43" s="11">
        <v>50</v>
      </c>
      <c r="J43" s="11">
        <v>700</v>
      </c>
      <c r="K43" s="12">
        <v>17.38</v>
      </c>
      <c r="L43" s="12">
        <f>(K43*I43)/J43</f>
        <v>1.2414285714285713</v>
      </c>
    </row>
    <row r="44" spans="3:12" ht="15" x14ac:dyDescent="0.2">
      <c r="H44" s="11" t="s">
        <v>123</v>
      </c>
      <c r="I44" s="11">
        <v>10</v>
      </c>
      <c r="J44" s="11">
        <v>700</v>
      </c>
      <c r="K44" s="12">
        <v>10</v>
      </c>
      <c r="L44" s="12">
        <f t="shared" ref="L44:L45" si="4">(K44*I44)/J44</f>
        <v>0.14285714285714285</v>
      </c>
    </row>
    <row r="45" spans="3:12" ht="15" x14ac:dyDescent="0.2">
      <c r="H45" s="10" t="s">
        <v>124</v>
      </c>
      <c r="I45" s="11">
        <v>20</v>
      </c>
      <c r="J45" s="11">
        <v>1000</v>
      </c>
      <c r="K45" s="11">
        <v>2.86</v>
      </c>
      <c r="L45" s="12">
        <f t="shared" si="4"/>
        <v>5.7199999999999994E-2</v>
      </c>
    </row>
    <row r="46" spans="3:12" ht="15" x14ac:dyDescent="0.2">
      <c r="H46" s="10" t="s">
        <v>48</v>
      </c>
      <c r="I46" s="11">
        <f>SUM(I43:I45)</f>
        <v>80</v>
      </c>
      <c r="J46" s="11"/>
      <c r="K46" s="11"/>
      <c r="L46" s="12">
        <f>SUM(L43:L45)</f>
        <v>1.441485714285714</v>
      </c>
    </row>
    <row r="47" spans="3:12" ht="15" x14ac:dyDescent="0.2">
      <c r="H47" s="11" t="s">
        <v>52</v>
      </c>
      <c r="I47" s="20">
        <f>J47/I46</f>
        <v>8.75</v>
      </c>
      <c r="J47" s="11">
        <v>700</v>
      </c>
      <c r="K47" s="11"/>
      <c r="L47" s="12">
        <f>L46*I47</f>
        <v>12.612999999999998</v>
      </c>
    </row>
    <row r="48" spans="3:12" ht="15" x14ac:dyDescent="0.2">
      <c r="H48" s="10" t="s">
        <v>53</v>
      </c>
      <c r="I48" s="11">
        <f>C14</f>
        <v>0</v>
      </c>
      <c r="J48" s="11">
        <v>700</v>
      </c>
      <c r="K48" s="11"/>
      <c r="L48" s="12">
        <f>L47*I48</f>
        <v>0</v>
      </c>
    </row>
    <row r="49" spans="8:12" ht="15" x14ac:dyDescent="0.2">
      <c r="H49" s="10"/>
      <c r="I49" s="11"/>
      <c r="J49" s="11"/>
      <c r="K49" s="11"/>
      <c r="L49" s="12"/>
    </row>
    <row r="51" spans="8:12" ht="15" x14ac:dyDescent="0.15">
      <c r="H51" s="21" t="s">
        <v>788</v>
      </c>
    </row>
    <row r="52" spans="8:12" ht="15" x14ac:dyDescent="0.2">
      <c r="H52" s="11" t="s">
        <v>789</v>
      </c>
      <c r="I52" s="11">
        <v>50</v>
      </c>
      <c r="J52" s="11">
        <v>700</v>
      </c>
      <c r="K52" s="12">
        <f>'Productos-precio'!D413</f>
        <v>6.9</v>
      </c>
      <c r="L52" s="12">
        <f>(K52*I52)/J52</f>
        <v>0.49285714285714288</v>
      </c>
    </row>
    <row r="53" spans="8:12" ht="15" x14ac:dyDescent="0.2">
      <c r="H53" s="11" t="s">
        <v>790</v>
      </c>
      <c r="I53" s="11">
        <v>20</v>
      </c>
      <c r="J53" s="11">
        <v>700</v>
      </c>
      <c r="K53" s="12">
        <f>'Productos-precio'!D186</f>
        <v>10.64</v>
      </c>
      <c r="L53" s="12">
        <f t="shared" ref="L53:L54" si="5">(K53*I53)/J53</f>
        <v>0.30399999999999999</v>
      </c>
    </row>
    <row r="54" spans="8:12" ht="15" x14ac:dyDescent="0.2">
      <c r="H54" s="10" t="s">
        <v>760</v>
      </c>
      <c r="I54" s="11">
        <v>25</v>
      </c>
      <c r="J54" s="11">
        <v>1000</v>
      </c>
      <c r="K54" s="11">
        <f>'Productos-precio'!D319</f>
        <v>9.49</v>
      </c>
      <c r="L54" s="12">
        <f t="shared" si="5"/>
        <v>0.23724999999999999</v>
      </c>
    </row>
    <row r="55" spans="8:12" ht="15" x14ac:dyDescent="0.2">
      <c r="H55" s="10" t="s">
        <v>48</v>
      </c>
      <c r="I55" s="11">
        <f>SUM(I52:I54)</f>
        <v>95</v>
      </c>
      <c r="J55" s="11"/>
      <c r="K55" s="11"/>
      <c r="L55" s="12">
        <f>SUM(L52:L54)</f>
        <v>1.0341071428571429</v>
      </c>
    </row>
    <row r="56" spans="8:12" ht="15" x14ac:dyDescent="0.2">
      <c r="H56" s="11" t="s">
        <v>52</v>
      </c>
      <c r="I56" s="20">
        <f>J56/I55</f>
        <v>7.3684210526315788</v>
      </c>
      <c r="J56" s="11">
        <v>700</v>
      </c>
      <c r="K56" s="11"/>
      <c r="L56" s="12">
        <f>L55*I56</f>
        <v>7.6197368421052634</v>
      </c>
    </row>
    <row r="57" spans="8:12" ht="15" x14ac:dyDescent="0.2">
      <c r="H57" s="10" t="s">
        <v>53</v>
      </c>
      <c r="I57" s="11">
        <f>C25</f>
        <v>0</v>
      </c>
      <c r="J57" s="11">
        <v>700</v>
      </c>
      <c r="K57" s="11"/>
      <c r="L57" s="12">
        <f>L56*I57</f>
        <v>0</v>
      </c>
    </row>
    <row r="58" spans="8:12" ht="15" x14ac:dyDescent="0.2">
      <c r="H58" s="10" t="s">
        <v>791</v>
      </c>
      <c r="I58" s="11">
        <f>J58/I55</f>
        <v>0</v>
      </c>
      <c r="J58" s="11">
        <f>D25</f>
        <v>0</v>
      </c>
      <c r="K58" s="11"/>
      <c r="L58" s="12">
        <f>L55*I58</f>
        <v>0</v>
      </c>
    </row>
    <row r="61" spans="8:12" ht="27.75" x14ac:dyDescent="0.2">
      <c r="H61" s="21" t="s">
        <v>792</v>
      </c>
    </row>
    <row r="62" spans="8:12" ht="15" x14ac:dyDescent="0.2">
      <c r="H62" s="11" t="s">
        <v>741</v>
      </c>
      <c r="I62" s="11">
        <v>25</v>
      </c>
      <c r="J62" s="11">
        <v>1000</v>
      </c>
      <c r="K62" s="12">
        <f>'Productos-precio'!D122</f>
        <v>9.74</v>
      </c>
      <c r="L62" s="12">
        <f>(K62*I62)/J62</f>
        <v>0.24349999999999999</v>
      </c>
    </row>
    <row r="63" spans="8:12" ht="15" x14ac:dyDescent="0.2">
      <c r="H63" s="11" t="s">
        <v>793</v>
      </c>
      <c r="I63" s="11">
        <v>25</v>
      </c>
      <c r="J63" s="11">
        <v>700</v>
      </c>
      <c r="K63" s="12">
        <f>'Productos-precio'!D143</f>
        <v>26.35</v>
      </c>
      <c r="L63" s="12">
        <f t="shared" ref="L63:L64" si="6">(K63*I63)/J63</f>
        <v>0.94107142857142856</v>
      </c>
    </row>
    <row r="64" spans="8:12" ht="15" x14ac:dyDescent="0.2">
      <c r="H64" s="10" t="s">
        <v>794</v>
      </c>
      <c r="I64" s="11">
        <v>25</v>
      </c>
      <c r="J64" s="11">
        <v>700</v>
      </c>
      <c r="K64" s="11">
        <f>'Productos-precio'!D226</f>
        <v>21.91</v>
      </c>
      <c r="L64" s="12">
        <f t="shared" si="6"/>
        <v>0.78249999999999997</v>
      </c>
    </row>
    <row r="65" spans="8:12" ht="15" x14ac:dyDescent="0.2">
      <c r="H65" s="10" t="s">
        <v>48</v>
      </c>
      <c r="I65" s="11">
        <v>75</v>
      </c>
      <c r="J65" s="11"/>
      <c r="K65" s="11"/>
      <c r="L65" s="12">
        <f>SUM(L62:L64)</f>
        <v>1.9670714285714286</v>
      </c>
    </row>
    <row r="66" spans="8:12" ht="15" x14ac:dyDescent="0.2">
      <c r="H66" s="11" t="s">
        <v>52</v>
      </c>
      <c r="I66" s="20">
        <f>J66/I65</f>
        <v>9.3333333333333339</v>
      </c>
      <c r="J66" s="11">
        <v>700</v>
      </c>
      <c r="K66" s="11"/>
      <c r="L66" s="12">
        <f>L65*I66</f>
        <v>18.359333333333336</v>
      </c>
    </row>
    <row r="67" spans="8:12" ht="15" x14ac:dyDescent="0.2">
      <c r="H67" s="10" t="s">
        <v>53</v>
      </c>
      <c r="I67" s="11"/>
      <c r="J67" s="11">
        <v>700</v>
      </c>
      <c r="K67" s="11"/>
      <c r="L67" s="12">
        <f>L66*I67</f>
        <v>0</v>
      </c>
    </row>
    <row r="70" spans="8:12" ht="15" x14ac:dyDescent="0.15">
      <c r="H70" s="21" t="s">
        <v>797</v>
      </c>
    </row>
    <row r="71" spans="8:12" ht="15" x14ac:dyDescent="0.2">
      <c r="H71" s="11" t="s">
        <v>12</v>
      </c>
      <c r="I71" s="11">
        <v>30</v>
      </c>
      <c r="J71" s="11">
        <v>700</v>
      </c>
      <c r="K71" s="12">
        <f>'Productos-precio'!D136</f>
        <v>12.47</v>
      </c>
      <c r="L71" s="12">
        <f>(K71*I71)/J71</f>
        <v>0.53442857142857148</v>
      </c>
    </row>
    <row r="72" spans="8:12" ht="15" x14ac:dyDescent="0.2">
      <c r="H72" s="11" t="s">
        <v>795</v>
      </c>
      <c r="I72" s="11">
        <v>30</v>
      </c>
      <c r="J72" s="11">
        <v>700</v>
      </c>
      <c r="K72" s="12">
        <f>'Productos-precio'!D365</f>
        <v>9.2200000000000006</v>
      </c>
      <c r="L72" s="12">
        <f t="shared" ref="L72" si="7">(K72*I72)/J72</f>
        <v>0.39514285714285718</v>
      </c>
    </row>
    <row r="73" spans="8:12" ht="15" x14ac:dyDescent="0.2">
      <c r="H73" s="10"/>
      <c r="I73" s="11"/>
      <c r="J73" s="11"/>
      <c r="K73" s="11">
        <f>'Productos-precio'!D235</f>
        <v>0</v>
      </c>
      <c r="L73" s="12"/>
    </row>
    <row r="74" spans="8:12" ht="15" x14ac:dyDescent="0.2">
      <c r="H74" s="10" t="s">
        <v>48</v>
      </c>
      <c r="I74" s="11">
        <v>60</v>
      </c>
      <c r="J74" s="11"/>
      <c r="K74" s="11"/>
      <c r="L74" s="12">
        <f>SUM(L71:L73)</f>
        <v>0.92957142857142872</v>
      </c>
    </row>
    <row r="75" spans="8:12" ht="15" x14ac:dyDescent="0.2">
      <c r="H75" s="11" t="s">
        <v>52</v>
      </c>
      <c r="I75" s="20">
        <f>J75/I74</f>
        <v>11.666666666666666</v>
      </c>
      <c r="J75" s="11">
        <v>700</v>
      </c>
      <c r="K75" s="11"/>
      <c r="L75" s="12">
        <f>L74*I75</f>
        <v>10.845000000000001</v>
      </c>
    </row>
    <row r="76" spans="8:12" ht="15" x14ac:dyDescent="0.2">
      <c r="H76" s="10" t="s">
        <v>53</v>
      </c>
      <c r="I76" s="11"/>
      <c r="J76" s="11">
        <v>700</v>
      </c>
      <c r="K76" s="11"/>
      <c r="L76" s="12">
        <f>L75*I76</f>
        <v>0</v>
      </c>
    </row>
    <row r="79" spans="8:12" ht="15" x14ac:dyDescent="0.15">
      <c r="H79" s="21" t="s">
        <v>796</v>
      </c>
    </row>
    <row r="80" spans="8:12" ht="15" x14ac:dyDescent="0.2">
      <c r="H80" s="11" t="s">
        <v>798</v>
      </c>
      <c r="I80" s="11">
        <v>15</v>
      </c>
      <c r="J80" s="11">
        <v>700</v>
      </c>
      <c r="K80" s="12">
        <f>'Productos-precio'!D273</f>
        <v>12.67</v>
      </c>
      <c r="L80" s="12">
        <f>(K80*I80)/J80</f>
        <v>0.27150000000000002</v>
      </c>
    </row>
    <row r="81" spans="8:12" ht="15" x14ac:dyDescent="0.2">
      <c r="H81" s="11" t="s">
        <v>799</v>
      </c>
      <c r="I81" s="11">
        <v>15</v>
      </c>
      <c r="J81" s="11">
        <v>700</v>
      </c>
      <c r="K81" s="12">
        <f>'Productos-precio'!D338</f>
        <v>15.22</v>
      </c>
      <c r="L81" s="12">
        <f t="shared" ref="L81:L85" si="8">(K81*I81)/J81</f>
        <v>0.32614285714285718</v>
      </c>
    </row>
    <row r="82" spans="8:12" ht="15" x14ac:dyDescent="0.2">
      <c r="H82" s="11" t="s">
        <v>800</v>
      </c>
      <c r="I82" s="11">
        <v>15</v>
      </c>
      <c r="J82" s="11">
        <v>700</v>
      </c>
      <c r="K82" s="12">
        <f>'Productos-precio'!D413</f>
        <v>6.9</v>
      </c>
      <c r="L82" s="12">
        <f t="shared" si="8"/>
        <v>0.14785714285714285</v>
      </c>
    </row>
    <row r="83" spans="8:12" ht="15" x14ac:dyDescent="0.2">
      <c r="H83" s="11" t="s">
        <v>106</v>
      </c>
      <c r="I83" s="11">
        <v>15</v>
      </c>
      <c r="J83" s="11">
        <v>1050</v>
      </c>
      <c r="K83" s="12">
        <f>'[1]PREBATCH CUEVA'!$G$44+[2]Producciones!$F$178</f>
        <v>8.5638571428571435</v>
      </c>
      <c r="L83" s="12">
        <f t="shared" si="8"/>
        <v>0.12234081632653063</v>
      </c>
    </row>
    <row r="84" spans="8:12" ht="15" x14ac:dyDescent="0.2">
      <c r="H84" s="10" t="s">
        <v>681</v>
      </c>
      <c r="I84" s="11">
        <v>15</v>
      </c>
      <c r="J84" s="11">
        <v>700</v>
      </c>
      <c r="K84" s="11">
        <f>'Productos-precio'!D110</f>
        <v>27.87</v>
      </c>
      <c r="L84" s="12">
        <f t="shared" si="8"/>
        <v>0.5972142857142857</v>
      </c>
    </row>
    <row r="85" spans="8:12" ht="15" x14ac:dyDescent="0.2">
      <c r="H85" s="10" t="s">
        <v>58</v>
      </c>
      <c r="I85" s="11">
        <v>25</v>
      </c>
      <c r="J85" s="11">
        <v>1500</v>
      </c>
      <c r="K85" s="11">
        <f>[2]Producciones!$F$133</f>
        <v>2.6166666666666667</v>
      </c>
      <c r="L85" s="12">
        <f t="shared" si="8"/>
        <v>4.3611111111111114E-2</v>
      </c>
    </row>
    <row r="86" spans="8:12" ht="15" x14ac:dyDescent="0.2">
      <c r="H86" s="10"/>
      <c r="I86" s="11"/>
      <c r="J86" s="11"/>
      <c r="K86" s="11"/>
      <c r="L86" s="12"/>
    </row>
    <row r="87" spans="8:12" ht="15" x14ac:dyDescent="0.2">
      <c r="H87" s="10" t="s">
        <v>48</v>
      </c>
      <c r="I87" s="11">
        <v>75</v>
      </c>
      <c r="J87" s="11"/>
      <c r="K87" s="11"/>
      <c r="L87" s="12">
        <f>SUM(L80:L84)</f>
        <v>1.4650551020408162</v>
      </c>
    </row>
    <row r="88" spans="8:12" ht="15" x14ac:dyDescent="0.2">
      <c r="H88" s="11" t="s">
        <v>52</v>
      </c>
      <c r="I88" s="20">
        <f>J88/I87</f>
        <v>9.3333333333333339</v>
      </c>
      <c r="J88" s="11">
        <v>700</v>
      </c>
      <c r="K88" s="11"/>
      <c r="L88" s="12">
        <f>L87*I88</f>
        <v>13.673847619047619</v>
      </c>
    </row>
    <row r="89" spans="8:12" ht="15" x14ac:dyDescent="0.2">
      <c r="H89" s="10" t="s">
        <v>53</v>
      </c>
      <c r="I89" s="11"/>
      <c r="J89" s="11">
        <v>700</v>
      </c>
      <c r="K89" s="11"/>
      <c r="L89" s="12">
        <f>L88*I89</f>
        <v>0</v>
      </c>
    </row>
    <row r="92" spans="8:12" ht="15" x14ac:dyDescent="0.15">
      <c r="H92" s="21" t="s">
        <v>801</v>
      </c>
    </row>
    <row r="93" spans="8:12" ht="15" x14ac:dyDescent="0.2">
      <c r="H93" s="11" t="s">
        <v>802</v>
      </c>
      <c r="I93" s="11">
        <v>115</v>
      </c>
      <c r="J93" s="11">
        <v>700</v>
      </c>
      <c r="K93" s="12">
        <f>'Stock producciones'!N236</f>
        <v>2.4895952380952382</v>
      </c>
      <c r="L93" s="12">
        <f>(K93*I93)/J93</f>
        <v>0.40900493197278909</v>
      </c>
    </row>
    <row r="94" spans="8:12" ht="15" x14ac:dyDescent="0.2">
      <c r="H94" s="10" t="s">
        <v>48</v>
      </c>
      <c r="I94" s="11">
        <v>60</v>
      </c>
      <c r="J94" s="11"/>
      <c r="K94" s="11"/>
      <c r="L94" s="12">
        <f>SUM(L93:L93)</f>
        <v>0.40900493197278909</v>
      </c>
    </row>
    <row r="95" spans="8:12" ht="15" x14ac:dyDescent="0.2">
      <c r="H95" s="11" t="s">
        <v>52</v>
      </c>
      <c r="I95" s="20">
        <v>7</v>
      </c>
      <c r="J95" s="11">
        <v>700</v>
      </c>
      <c r="K95" s="11"/>
      <c r="L95" s="12">
        <f>L94*I95</f>
        <v>2.8630345238095236</v>
      </c>
    </row>
    <row r="96" spans="8:12" ht="15" x14ac:dyDescent="0.2">
      <c r="H96" s="10" t="s">
        <v>53</v>
      </c>
      <c r="I96" s="11"/>
      <c r="J96" s="11">
        <v>700</v>
      </c>
      <c r="K96" s="11"/>
      <c r="L96" s="12">
        <f>L95*I96</f>
        <v>0</v>
      </c>
    </row>
    <row r="99" spans="8:12" ht="15" x14ac:dyDescent="0.15">
      <c r="H99" s="21" t="s">
        <v>803</v>
      </c>
    </row>
    <row r="100" spans="8:12" ht="15" x14ac:dyDescent="0.2">
      <c r="H100" s="11" t="s">
        <v>804</v>
      </c>
      <c r="I100" s="11">
        <v>25</v>
      </c>
      <c r="J100" s="11">
        <v>700</v>
      </c>
      <c r="K100" s="12">
        <f>'Productos-precio'!D424</f>
        <v>16.989999999999998</v>
      </c>
      <c r="L100" s="12">
        <f>(K100*I100)/J100</f>
        <v>0.60678571428571415</v>
      </c>
    </row>
    <row r="101" spans="8:12" ht="15" x14ac:dyDescent="0.2">
      <c r="H101" s="11" t="s">
        <v>805</v>
      </c>
      <c r="I101" s="11">
        <v>35</v>
      </c>
      <c r="J101" s="11">
        <v>700</v>
      </c>
      <c r="K101" s="12">
        <f>'Productos-precio'!D428</f>
        <v>24.31</v>
      </c>
      <c r="L101" s="12">
        <f t="shared" ref="L101:L102" si="9">(K101*I101)/J101</f>
        <v>1.2154999999999998</v>
      </c>
    </row>
    <row r="102" spans="8:12" ht="15" x14ac:dyDescent="0.2">
      <c r="H102" s="10" t="s">
        <v>806</v>
      </c>
      <c r="I102" s="11">
        <v>10</v>
      </c>
      <c r="J102" s="11">
        <v>1000</v>
      </c>
      <c r="K102" s="11">
        <v>1.8</v>
      </c>
      <c r="L102" s="12">
        <f t="shared" si="9"/>
        <v>1.7999999999999999E-2</v>
      </c>
    </row>
    <row r="103" spans="8:12" ht="15" x14ac:dyDescent="0.2">
      <c r="H103" s="10" t="s">
        <v>588</v>
      </c>
      <c r="I103" s="11">
        <v>25</v>
      </c>
      <c r="J103" s="11">
        <v>1000</v>
      </c>
      <c r="K103" s="11">
        <v>0</v>
      </c>
      <c r="L103" s="12">
        <v>0</v>
      </c>
    </row>
    <row r="104" spans="8:12" ht="15" x14ac:dyDescent="0.2">
      <c r="H104" s="10" t="s">
        <v>48</v>
      </c>
      <c r="I104" s="11">
        <f>SUM(I100:I103)</f>
        <v>95</v>
      </c>
      <c r="J104" s="11"/>
      <c r="K104" s="11"/>
      <c r="L104" s="12">
        <f>SUM(L100:L102)</f>
        <v>1.8402857142857141</v>
      </c>
    </row>
    <row r="105" spans="8:12" ht="15" x14ac:dyDescent="0.2">
      <c r="H105" s="11" t="s">
        <v>52</v>
      </c>
      <c r="I105" s="20">
        <f>J105/I104</f>
        <v>7.3684210526315788</v>
      </c>
      <c r="J105" s="11">
        <v>700</v>
      </c>
      <c r="K105" s="11"/>
      <c r="L105" s="12">
        <f>L104*I105</f>
        <v>13.559999999999999</v>
      </c>
    </row>
    <row r="106" spans="8:12" ht="15" x14ac:dyDescent="0.2">
      <c r="H106" s="10" t="s">
        <v>53</v>
      </c>
      <c r="I106" s="11">
        <f>C26</f>
        <v>0</v>
      </c>
      <c r="J106" s="11">
        <v>700</v>
      </c>
      <c r="K106" s="11"/>
      <c r="L106" s="12">
        <f>L105*I106</f>
        <v>0</v>
      </c>
    </row>
    <row r="109" spans="8:12" ht="18" customHeight="1" x14ac:dyDescent="0.15">
      <c r="H109" s="237" t="s">
        <v>1285</v>
      </c>
      <c r="I109" s="237"/>
    </row>
    <row r="110" spans="8:12" ht="15" x14ac:dyDescent="0.2">
      <c r="H110" s="11" t="s">
        <v>669</v>
      </c>
      <c r="I110" s="11">
        <v>50</v>
      </c>
      <c r="J110" s="11">
        <v>700</v>
      </c>
      <c r="K110" s="12">
        <v>7</v>
      </c>
      <c r="L110" s="12">
        <f>(K110*I110)/J110</f>
        <v>0.5</v>
      </c>
    </row>
    <row r="111" spans="8:12" ht="15" x14ac:dyDescent="0.2">
      <c r="H111" s="11" t="s">
        <v>1129</v>
      </c>
      <c r="I111" s="11">
        <v>20</v>
      </c>
      <c r="J111" s="11">
        <v>700</v>
      </c>
      <c r="K111" s="12">
        <v>8</v>
      </c>
      <c r="L111" s="12">
        <f t="shared" ref="L111:L112" si="10">(K111*I111)/J111</f>
        <v>0.22857142857142856</v>
      </c>
    </row>
    <row r="112" spans="8:12" ht="15" x14ac:dyDescent="0.2">
      <c r="H112" s="10" t="s">
        <v>1286</v>
      </c>
      <c r="I112" s="11">
        <v>5</v>
      </c>
      <c r="J112" s="11">
        <v>1000</v>
      </c>
      <c r="K112" s="11">
        <v>14</v>
      </c>
      <c r="L112" s="12">
        <f t="shared" si="10"/>
        <v>7.0000000000000007E-2</v>
      </c>
    </row>
    <row r="113" spans="8:12" ht="15" x14ac:dyDescent="0.2">
      <c r="H113" s="10"/>
      <c r="I113" s="11">
        <v>25</v>
      </c>
      <c r="J113" s="11">
        <v>1000</v>
      </c>
      <c r="K113" s="11">
        <v>0</v>
      </c>
      <c r="L113" s="12">
        <v>0</v>
      </c>
    </row>
    <row r="114" spans="8:12" ht="15" x14ac:dyDescent="0.2">
      <c r="H114" s="10" t="s">
        <v>48</v>
      </c>
      <c r="I114" s="11">
        <f>SUM(I110:I113)</f>
        <v>100</v>
      </c>
      <c r="J114" s="11"/>
      <c r="K114" s="11"/>
      <c r="L114" s="12">
        <f>SUM(L110:L112)</f>
        <v>0.79857142857142849</v>
      </c>
    </row>
    <row r="115" spans="8:12" ht="15" x14ac:dyDescent="0.2">
      <c r="H115" s="11" t="s">
        <v>52</v>
      </c>
      <c r="I115" s="20">
        <f>J115/I114</f>
        <v>7</v>
      </c>
      <c r="J115" s="11">
        <v>700</v>
      </c>
      <c r="K115" s="11"/>
      <c r="L115" s="12">
        <f>L114*I115</f>
        <v>5.59</v>
      </c>
    </row>
    <row r="116" spans="8:12" ht="15" x14ac:dyDescent="0.2">
      <c r="H116" s="10" t="s">
        <v>53</v>
      </c>
      <c r="I116" s="11">
        <f>C9</f>
        <v>0</v>
      </c>
      <c r="J116" s="11">
        <v>700</v>
      </c>
      <c r="K116" s="11"/>
      <c r="L116" s="12">
        <f>L115*I116</f>
        <v>0</v>
      </c>
    </row>
  </sheetData>
  <mergeCells count="2">
    <mergeCell ref="B2:D2"/>
    <mergeCell ref="H109:I10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2:G618"/>
  <sheetViews>
    <sheetView tabSelected="1" topLeftCell="A261" zoomScale="115" zoomScaleNormal="115" workbookViewId="0">
      <selection activeCell="B280" sqref="B280"/>
    </sheetView>
  </sheetViews>
  <sheetFormatPr defaultColWidth="11.765625" defaultRowHeight="15" x14ac:dyDescent="0.2"/>
  <cols>
    <col min="1" max="1" width="3.5546875" customWidth="1"/>
    <col min="2" max="2" width="46.953125" style="198" bestFit="1" customWidth="1"/>
    <col min="3" max="3" width="13.60546875" style="231" bestFit="1" customWidth="1"/>
    <col min="4" max="4" width="11.765625" style="224"/>
    <col min="5" max="5" width="17.16015625" customWidth="1"/>
    <col min="6" max="6" width="12.9921875" bestFit="1" customWidth="1"/>
  </cols>
  <sheetData>
    <row r="2" spans="2:5" x14ac:dyDescent="0.2">
      <c r="B2" s="57" t="s">
        <v>0</v>
      </c>
      <c r="C2" s="225"/>
      <c r="D2" s="220" t="s">
        <v>2</v>
      </c>
      <c r="E2" s="199" t="s">
        <v>3</v>
      </c>
    </row>
    <row r="3" spans="2:5" x14ac:dyDescent="0.2">
      <c r="B3" s="233" t="s">
        <v>1309</v>
      </c>
      <c r="C3" s="226"/>
      <c r="D3" s="219"/>
      <c r="E3" s="56"/>
    </row>
    <row r="4" spans="2:5" x14ac:dyDescent="0.2">
      <c r="B4" s="11" t="s">
        <v>219</v>
      </c>
      <c r="C4" s="226" t="s">
        <v>1321</v>
      </c>
      <c r="D4" s="219">
        <v>27.91</v>
      </c>
      <c r="E4" s="56" t="e">
        <f>C4*D4</f>
        <v>#VALUE!</v>
      </c>
    </row>
    <row r="5" spans="2:5" x14ac:dyDescent="0.2">
      <c r="B5" s="11" t="s">
        <v>220</v>
      </c>
      <c r="C5" s="226"/>
      <c r="D5" s="219">
        <v>24.84</v>
      </c>
      <c r="E5" s="56">
        <f t="shared" ref="E5:E70" si="0">C5*D5</f>
        <v>0</v>
      </c>
    </row>
    <row r="6" spans="2:5" x14ac:dyDescent="0.2">
      <c r="B6" s="11" t="s">
        <v>223</v>
      </c>
      <c r="C6" s="226"/>
      <c r="D6" s="219">
        <v>32.017000000000003</v>
      </c>
      <c r="E6" s="56">
        <f t="shared" si="0"/>
        <v>0</v>
      </c>
    </row>
    <row r="7" spans="2:5" x14ac:dyDescent="0.2">
      <c r="B7" s="11"/>
      <c r="C7" s="226"/>
      <c r="D7" s="219"/>
      <c r="E7" s="56">
        <f t="shared" si="0"/>
        <v>0</v>
      </c>
    </row>
    <row r="8" spans="2:5" x14ac:dyDescent="0.2">
      <c r="B8" s="233" t="s">
        <v>1310</v>
      </c>
      <c r="C8" s="226"/>
      <c r="D8" s="219"/>
      <c r="E8" s="56"/>
    </row>
    <row r="9" spans="2:5" x14ac:dyDescent="0.2">
      <c r="B9" s="58" t="s">
        <v>91</v>
      </c>
      <c r="C9" s="226"/>
      <c r="D9" s="219">
        <v>1.0129999999999999</v>
      </c>
      <c r="E9" s="56">
        <f t="shared" si="0"/>
        <v>0</v>
      </c>
    </row>
    <row r="10" spans="2:5" x14ac:dyDescent="0.2">
      <c r="B10" s="58" t="s">
        <v>1284</v>
      </c>
      <c r="C10" s="226"/>
      <c r="D10" s="219">
        <v>0.42</v>
      </c>
      <c r="E10" s="56">
        <f t="shared" si="0"/>
        <v>0</v>
      </c>
    </row>
    <row r="11" spans="2:5" x14ac:dyDescent="0.2">
      <c r="B11" s="58"/>
      <c r="C11" s="226"/>
      <c r="D11" s="219"/>
      <c r="E11" s="56">
        <f t="shared" si="0"/>
        <v>0</v>
      </c>
    </row>
    <row r="12" spans="2:5" x14ac:dyDescent="0.2">
      <c r="B12" s="232" t="s">
        <v>1311</v>
      </c>
      <c r="C12" s="226"/>
      <c r="D12" s="219"/>
      <c r="E12" s="56"/>
    </row>
    <row r="13" spans="2:5" x14ac:dyDescent="0.2">
      <c r="B13" s="27" t="s">
        <v>231</v>
      </c>
      <c r="C13" s="226">
        <v>0.5</v>
      </c>
      <c r="D13" s="219">
        <v>9.65</v>
      </c>
      <c r="E13" s="56">
        <f t="shared" si="0"/>
        <v>4.8250000000000002</v>
      </c>
    </row>
    <row r="14" spans="2:5" x14ac:dyDescent="0.2">
      <c r="B14" s="67" t="s">
        <v>68</v>
      </c>
      <c r="C14" s="227">
        <v>0.1</v>
      </c>
      <c r="D14" s="221">
        <v>15</v>
      </c>
      <c r="E14" s="56">
        <f t="shared" si="0"/>
        <v>1.5</v>
      </c>
    </row>
    <row r="15" spans="2:5" x14ac:dyDescent="0.2">
      <c r="B15" s="68" t="s">
        <v>848</v>
      </c>
      <c r="C15" s="227"/>
      <c r="D15" s="221">
        <v>12.94</v>
      </c>
      <c r="E15" s="56">
        <f t="shared" si="0"/>
        <v>0</v>
      </c>
    </row>
    <row r="16" spans="2:5" x14ac:dyDescent="0.2">
      <c r="B16" s="68" t="s">
        <v>237</v>
      </c>
      <c r="C16" s="227"/>
      <c r="D16" s="221">
        <v>13.38</v>
      </c>
      <c r="E16" s="56">
        <f t="shared" si="0"/>
        <v>0</v>
      </c>
    </row>
    <row r="17" spans="2:5" x14ac:dyDescent="0.2">
      <c r="B17" s="27" t="s">
        <v>82</v>
      </c>
      <c r="C17" s="226">
        <v>0.8</v>
      </c>
      <c r="D17" s="219">
        <v>24</v>
      </c>
      <c r="E17" s="56">
        <f t="shared" si="0"/>
        <v>19.200000000000003</v>
      </c>
    </row>
    <row r="18" spans="2:5" x14ac:dyDescent="0.2">
      <c r="B18" s="11" t="s">
        <v>241</v>
      </c>
      <c r="C18" s="226"/>
      <c r="D18" s="219">
        <v>21.8</v>
      </c>
      <c r="E18" s="56">
        <f t="shared" si="0"/>
        <v>0</v>
      </c>
    </row>
    <row r="19" spans="2:5" x14ac:dyDescent="0.2">
      <c r="B19" s="11" t="s">
        <v>176</v>
      </c>
      <c r="C19" s="226"/>
      <c r="D19" s="219">
        <v>20.3</v>
      </c>
      <c r="E19" s="56">
        <f t="shared" si="0"/>
        <v>0</v>
      </c>
    </row>
    <row r="20" spans="2:5" x14ac:dyDescent="0.2">
      <c r="B20" s="11" t="s">
        <v>243</v>
      </c>
      <c r="C20" s="226">
        <v>2.6</v>
      </c>
      <c r="D20" s="219">
        <v>11.16</v>
      </c>
      <c r="E20" s="56">
        <f t="shared" si="0"/>
        <v>29.016000000000002</v>
      </c>
    </row>
    <row r="21" spans="2:5" x14ac:dyDescent="0.2">
      <c r="B21" s="11" t="s">
        <v>991</v>
      </c>
      <c r="C21" s="226">
        <v>0.3</v>
      </c>
      <c r="D21" s="219">
        <v>12.1</v>
      </c>
      <c r="E21" s="56">
        <f t="shared" si="0"/>
        <v>3.63</v>
      </c>
    </row>
    <row r="22" spans="2:5" x14ac:dyDescent="0.2">
      <c r="B22" s="11"/>
      <c r="C22" s="226"/>
      <c r="D22" s="219"/>
      <c r="E22" s="56">
        <f t="shared" si="0"/>
        <v>0</v>
      </c>
    </row>
    <row r="23" spans="2:5" x14ac:dyDescent="0.2">
      <c r="B23" s="233" t="s">
        <v>1312</v>
      </c>
      <c r="C23" s="226"/>
      <c r="D23" s="219"/>
      <c r="E23" s="56"/>
    </row>
    <row r="24" spans="2:5" x14ac:dyDescent="0.2">
      <c r="B24" s="11" t="s">
        <v>249</v>
      </c>
      <c r="C24" s="226"/>
      <c r="D24" s="219">
        <v>10.39</v>
      </c>
      <c r="E24" s="56">
        <f t="shared" si="0"/>
        <v>0</v>
      </c>
    </row>
    <row r="25" spans="2:5" x14ac:dyDescent="0.2">
      <c r="B25" s="11" t="s">
        <v>251</v>
      </c>
      <c r="C25" s="226">
        <v>2.6</v>
      </c>
      <c r="D25" s="219">
        <v>8.48</v>
      </c>
      <c r="E25" s="56">
        <f t="shared" si="0"/>
        <v>22.048000000000002</v>
      </c>
    </row>
    <row r="26" spans="2:5" x14ac:dyDescent="0.2">
      <c r="B26" s="27" t="s">
        <v>254</v>
      </c>
      <c r="C26" s="226"/>
      <c r="D26" s="219">
        <v>8.48</v>
      </c>
      <c r="E26" s="56">
        <f t="shared" si="0"/>
        <v>0</v>
      </c>
    </row>
    <row r="27" spans="2:5" x14ac:dyDescent="0.2">
      <c r="B27" s="11" t="s">
        <v>253</v>
      </c>
      <c r="C27" s="226"/>
      <c r="D27" s="219">
        <v>10.39</v>
      </c>
      <c r="E27" s="56">
        <f t="shared" si="0"/>
        <v>0</v>
      </c>
    </row>
    <row r="28" spans="2:5" x14ac:dyDescent="0.2">
      <c r="B28" s="27"/>
      <c r="C28" s="226"/>
      <c r="D28" s="219"/>
      <c r="E28" s="56">
        <f t="shared" si="0"/>
        <v>0</v>
      </c>
    </row>
    <row r="29" spans="2:5" x14ac:dyDescent="0.2">
      <c r="B29" s="235" t="s">
        <v>1313</v>
      </c>
      <c r="C29" s="226"/>
      <c r="D29" s="219"/>
      <c r="E29" s="56"/>
    </row>
    <row r="30" spans="2:5" x14ac:dyDescent="0.2">
      <c r="B30" s="59" t="s">
        <v>6</v>
      </c>
      <c r="C30" s="226"/>
      <c r="D30" s="219">
        <v>15.5</v>
      </c>
      <c r="E30" s="56">
        <f t="shared" si="0"/>
        <v>0</v>
      </c>
    </row>
    <row r="31" spans="2:5" x14ac:dyDescent="0.2">
      <c r="B31" s="23" t="s">
        <v>873</v>
      </c>
      <c r="C31" s="226">
        <v>0.5</v>
      </c>
      <c r="D31" s="219">
        <v>34.24</v>
      </c>
      <c r="E31" s="56">
        <f t="shared" si="0"/>
        <v>17.12</v>
      </c>
    </row>
    <row r="32" spans="2:5" x14ac:dyDescent="0.2">
      <c r="B32" s="23" t="s">
        <v>874</v>
      </c>
      <c r="C32" s="226">
        <v>0.7</v>
      </c>
      <c r="D32" s="219">
        <v>20.89</v>
      </c>
      <c r="E32" s="56">
        <f t="shared" si="0"/>
        <v>14.622999999999999</v>
      </c>
    </row>
    <row r="33" spans="2:6" x14ac:dyDescent="0.2">
      <c r="B33" s="23" t="s">
        <v>10</v>
      </c>
      <c r="C33" s="226"/>
      <c r="D33" s="219">
        <v>42.25</v>
      </c>
      <c r="E33" s="56">
        <f t="shared" si="0"/>
        <v>0</v>
      </c>
    </row>
    <row r="34" spans="2:6" x14ac:dyDescent="0.2">
      <c r="B34" s="23" t="s">
        <v>875</v>
      </c>
      <c r="C34" s="226">
        <v>0.8</v>
      </c>
      <c r="D34" s="219">
        <v>18.46</v>
      </c>
      <c r="E34" s="56">
        <f t="shared" si="0"/>
        <v>14.768000000000001</v>
      </c>
    </row>
    <row r="35" spans="2:6" x14ac:dyDescent="0.2">
      <c r="B35" s="23"/>
      <c r="C35" s="226"/>
      <c r="D35" s="219"/>
      <c r="E35" s="56">
        <f t="shared" si="0"/>
        <v>0</v>
      </c>
    </row>
    <row r="36" spans="2:6" x14ac:dyDescent="0.2">
      <c r="B36" s="234" t="s">
        <v>1314</v>
      </c>
      <c r="C36" s="226"/>
      <c r="D36" s="219"/>
      <c r="E36" s="56"/>
    </row>
    <row r="37" spans="2:6" x14ac:dyDescent="0.2">
      <c r="B37" s="11" t="s">
        <v>265</v>
      </c>
      <c r="C37" s="226"/>
      <c r="D37" s="219">
        <v>9.1199999999999992</v>
      </c>
      <c r="E37" s="56">
        <f t="shared" si="0"/>
        <v>0</v>
      </c>
    </row>
    <row r="38" spans="2:6" x14ac:dyDescent="0.2">
      <c r="B38" s="11" t="s">
        <v>267</v>
      </c>
      <c r="C38" s="226"/>
      <c r="D38" s="219">
        <v>18.440000000000001</v>
      </c>
      <c r="E38" s="56">
        <f t="shared" si="0"/>
        <v>0</v>
      </c>
    </row>
    <row r="39" spans="2:6" x14ac:dyDescent="0.2">
      <c r="B39" s="11" t="s">
        <v>8</v>
      </c>
      <c r="C39" s="226"/>
      <c r="D39" s="219">
        <v>12.91</v>
      </c>
      <c r="E39" s="56">
        <f t="shared" si="0"/>
        <v>0</v>
      </c>
    </row>
    <row r="40" spans="2:6" x14ac:dyDescent="0.2">
      <c r="B40" s="11" t="s">
        <v>16</v>
      </c>
      <c r="C40" s="226"/>
      <c r="D40" s="219">
        <v>14.01</v>
      </c>
      <c r="E40" s="56">
        <f t="shared" si="0"/>
        <v>0</v>
      </c>
    </row>
    <row r="41" spans="2:6" x14ac:dyDescent="0.2">
      <c r="B41" s="59" t="s">
        <v>26</v>
      </c>
      <c r="C41" s="226"/>
      <c r="D41" s="219">
        <v>18.440000000000001</v>
      </c>
      <c r="E41" s="56">
        <f t="shared" si="0"/>
        <v>0</v>
      </c>
    </row>
    <row r="42" spans="2:6" x14ac:dyDescent="0.2">
      <c r="B42" s="23" t="s">
        <v>260</v>
      </c>
      <c r="C42" s="226">
        <v>0.5</v>
      </c>
      <c r="D42" s="219">
        <v>9.17</v>
      </c>
      <c r="E42" s="56">
        <f t="shared" si="0"/>
        <v>4.585</v>
      </c>
      <c r="F42" t="s">
        <v>208</v>
      </c>
    </row>
    <row r="43" spans="2:6" x14ac:dyDescent="0.2">
      <c r="B43" s="23" t="s">
        <v>849</v>
      </c>
      <c r="C43" s="226"/>
      <c r="D43" s="219">
        <v>16.05</v>
      </c>
      <c r="E43" s="56">
        <f t="shared" si="0"/>
        <v>0</v>
      </c>
    </row>
    <row r="44" spans="2:6" x14ac:dyDescent="0.2">
      <c r="B44" s="11" t="s">
        <v>273</v>
      </c>
      <c r="C44" s="226"/>
      <c r="D44" s="219">
        <v>7.07</v>
      </c>
      <c r="E44" s="56">
        <f t="shared" si="0"/>
        <v>0</v>
      </c>
    </row>
    <row r="45" spans="2:6" x14ac:dyDescent="0.2">
      <c r="B45" s="59" t="s">
        <v>1302</v>
      </c>
      <c r="C45" s="226"/>
      <c r="D45" s="219">
        <v>8.68</v>
      </c>
      <c r="E45" s="56">
        <f t="shared" si="0"/>
        <v>0</v>
      </c>
    </row>
    <row r="46" spans="2:6" x14ac:dyDescent="0.2">
      <c r="B46" s="23" t="s">
        <v>259</v>
      </c>
      <c r="C46" s="226"/>
      <c r="D46" s="219">
        <v>12.3</v>
      </c>
      <c r="E46" s="56">
        <f t="shared" si="0"/>
        <v>0</v>
      </c>
    </row>
    <row r="47" spans="2:6" x14ac:dyDescent="0.2">
      <c r="B47" s="11" t="s">
        <v>275</v>
      </c>
      <c r="C47" s="226"/>
      <c r="D47" s="219">
        <v>22.86</v>
      </c>
      <c r="E47" s="56">
        <f t="shared" si="0"/>
        <v>0</v>
      </c>
    </row>
    <row r="48" spans="2:6" x14ac:dyDescent="0.2">
      <c r="B48" s="11" t="s">
        <v>22</v>
      </c>
      <c r="C48" s="226"/>
      <c r="D48" s="219">
        <v>18.66</v>
      </c>
      <c r="E48" s="56">
        <f t="shared" si="0"/>
        <v>0</v>
      </c>
    </row>
    <row r="49" spans="2:5" x14ac:dyDescent="0.2">
      <c r="B49" s="11" t="s">
        <v>20</v>
      </c>
      <c r="C49" s="226"/>
      <c r="D49" s="219">
        <v>19.48</v>
      </c>
      <c r="E49" s="56">
        <f t="shared" si="0"/>
        <v>0</v>
      </c>
    </row>
    <row r="50" spans="2:5" x14ac:dyDescent="0.2">
      <c r="B50" s="11" t="s">
        <v>277</v>
      </c>
      <c r="C50" s="226"/>
      <c r="D50" s="219">
        <v>28.98</v>
      </c>
      <c r="E50" s="56">
        <f t="shared" si="0"/>
        <v>0</v>
      </c>
    </row>
    <row r="51" spans="2:5" x14ac:dyDescent="0.2">
      <c r="B51" s="11" t="s">
        <v>9</v>
      </c>
      <c r="C51" s="226"/>
      <c r="D51" s="219">
        <v>17.600000000000001</v>
      </c>
      <c r="E51" s="56">
        <f t="shared" si="0"/>
        <v>0</v>
      </c>
    </row>
    <row r="52" spans="2:5" x14ac:dyDescent="0.2">
      <c r="B52" s="11" t="s">
        <v>18</v>
      </c>
      <c r="C52" s="226"/>
      <c r="D52" s="219">
        <v>13.39</v>
      </c>
      <c r="E52" s="56">
        <f t="shared" si="0"/>
        <v>0</v>
      </c>
    </row>
    <row r="53" spans="2:5" x14ac:dyDescent="0.2">
      <c r="B53" s="23" t="s">
        <v>258</v>
      </c>
      <c r="C53" s="226"/>
      <c r="D53" s="219">
        <v>12.99</v>
      </c>
      <c r="E53" s="56">
        <f t="shared" si="0"/>
        <v>0</v>
      </c>
    </row>
    <row r="54" spans="2:5" x14ac:dyDescent="0.2">
      <c r="B54" s="23" t="s">
        <v>842</v>
      </c>
      <c r="C54" s="226"/>
      <c r="D54" s="219">
        <v>16.25</v>
      </c>
      <c r="E54" s="56">
        <f t="shared" si="0"/>
        <v>0</v>
      </c>
    </row>
    <row r="55" spans="2:5" x14ac:dyDescent="0.2">
      <c r="B55" s="23" t="s">
        <v>970</v>
      </c>
      <c r="C55" s="226"/>
      <c r="D55" s="219">
        <v>16.25</v>
      </c>
      <c r="E55" s="56">
        <f t="shared" si="0"/>
        <v>0</v>
      </c>
    </row>
    <row r="56" spans="2:5" x14ac:dyDescent="0.2">
      <c r="B56" s="23" t="s">
        <v>1226</v>
      </c>
      <c r="C56" s="226"/>
      <c r="D56" s="219">
        <v>16.25</v>
      </c>
      <c r="E56" s="56">
        <f t="shared" si="0"/>
        <v>0</v>
      </c>
    </row>
    <row r="57" spans="2:5" x14ac:dyDescent="0.2">
      <c r="B57" s="23"/>
      <c r="C57" s="226"/>
      <c r="D57" s="219"/>
      <c r="E57" s="56">
        <f t="shared" si="0"/>
        <v>0</v>
      </c>
    </row>
    <row r="58" spans="2:5" x14ac:dyDescent="0.2">
      <c r="B58" s="11" t="s">
        <v>994</v>
      </c>
      <c r="C58" s="226"/>
      <c r="D58" s="219">
        <v>17</v>
      </c>
      <c r="E58" s="56">
        <f t="shared" si="0"/>
        <v>0</v>
      </c>
    </row>
    <row r="59" spans="2:5" x14ac:dyDescent="0.2">
      <c r="B59" s="11" t="s">
        <v>280</v>
      </c>
      <c r="C59" s="226">
        <v>0.8</v>
      </c>
      <c r="D59" s="219">
        <v>15.86</v>
      </c>
      <c r="E59" s="56">
        <f t="shared" si="0"/>
        <v>12.688000000000001</v>
      </c>
    </row>
    <row r="60" spans="2:5" x14ac:dyDescent="0.2">
      <c r="B60" s="11" t="s">
        <v>1137</v>
      </c>
      <c r="C60" s="226"/>
      <c r="D60" s="219">
        <v>20</v>
      </c>
      <c r="E60" s="56">
        <f t="shared" si="0"/>
        <v>0</v>
      </c>
    </row>
    <row r="61" spans="2:5" x14ac:dyDescent="0.2">
      <c r="B61" s="11" t="s">
        <v>1242</v>
      </c>
      <c r="C61" s="226">
        <v>0.3</v>
      </c>
      <c r="D61" s="219">
        <v>50</v>
      </c>
      <c r="E61" s="56">
        <f t="shared" si="0"/>
        <v>15</v>
      </c>
    </row>
    <row r="62" spans="2:5" x14ac:dyDescent="0.2">
      <c r="B62" s="11" t="s">
        <v>282</v>
      </c>
      <c r="C62" s="226"/>
      <c r="D62" s="219">
        <v>29.53</v>
      </c>
      <c r="E62" s="56">
        <f t="shared" si="0"/>
        <v>0</v>
      </c>
    </row>
    <row r="63" spans="2:5" x14ac:dyDescent="0.2">
      <c r="B63" s="11" t="s">
        <v>283</v>
      </c>
      <c r="C63" s="226"/>
      <c r="D63" s="219">
        <v>11.1</v>
      </c>
      <c r="E63" s="56">
        <f t="shared" si="0"/>
        <v>0</v>
      </c>
    </row>
    <row r="64" spans="2:5" x14ac:dyDescent="0.2">
      <c r="B64" s="23" t="s">
        <v>69</v>
      </c>
      <c r="C64" s="226"/>
      <c r="D64" s="219">
        <v>25.58</v>
      </c>
      <c r="E64" s="56">
        <f t="shared" si="0"/>
        <v>0</v>
      </c>
    </row>
    <row r="65" spans="2:5" x14ac:dyDescent="0.2">
      <c r="B65" s="59" t="s">
        <v>7</v>
      </c>
      <c r="C65" s="226">
        <v>0.7</v>
      </c>
      <c r="D65" s="219">
        <v>64.819999999999993</v>
      </c>
      <c r="E65" s="56">
        <f t="shared" si="0"/>
        <v>45.373999999999995</v>
      </c>
    </row>
    <row r="66" spans="2:5" x14ac:dyDescent="0.2">
      <c r="B66" s="23" t="s">
        <v>84</v>
      </c>
      <c r="C66" s="226"/>
      <c r="D66" s="219">
        <v>20.3</v>
      </c>
      <c r="E66" s="56">
        <f t="shared" si="0"/>
        <v>0</v>
      </c>
    </row>
    <row r="67" spans="2:5" x14ac:dyDescent="0.2">
      <c r="B67" s="23"/>
      <c r="C67" s="226"/>
      <c r="D67" s="219"/>
      <c r="E67" s="56">
        <f t="shared" si="0"/>
        <v>0</v>
      </c>
    </row>
    <row r="68" spans="2:5" x14ac:dyDescent="0.2">
      <c r="B68" s="59" t="s">
        <v>883</v>
      </c>
      <c r="C68" s="226"/>
      <c r="D68" s="219">
        <v>9.9499999999999993</v>
      </c>
      <c r="E68" s="56">
        <f t="shared" si="0"/>
        <v>0</v>
      </c>
    </row>
    <row r="69" spans="2:5" x14ac:dyDescent="0.2">
      <c r="B69" s="27" t="s">
        <v>902</v>
      </c>
      <c r="C69" s="226"/>
      <c r="D69" s="219">
        <v>9.42</v>
      </c>
      <c r="E69" s="56">
        <f t="shared" si="0"/>
        <v>0</v>
      </c>
    </row>
    <row r="70" spans="2:5" x14ac:dyDescent="0.2">
      <c r="B70" s="27" t="s">
        <v>132</v>
      </c>
      <c r="C70" s="226">
        <v>1.8</v>
      </c>
      <c r="D70" s="219">
        <v>17.91</v>
      </c>
      <c r="E70" s="56">
        <f t="shared" si="0"/>
        <v>32.238</v>
      </c>
    </row>
    <row r="71" spans="2:5" x14ac:dyDescent="0.2">
      <c r="B71" s="59" t="s">
        <v>11</v>
      </c>
      <c r="C71" s="226">
        <v>1.8</v>
      </c>
      <c r="D71" s="219">
        <v>47</v>
      </c>
      <c r="E71" s="56">
        <f t="shared" ref="E71:E132" si="1">C71*D71</f>
        <v>84.600000000000009</v>
      </c>
    </row>
    <row r="72" spans="2:5" x14ac:dyDescent="0.2">
      <c r="B72" s="59"/>
      <c r="C72" s="226"/>
      <c r="D72" s="219"/>
      <c r="E72" s="56">
        <f t="shared" si="1"/>
        <v>0</v>
      </c>
    </row>
    <row r="73" spans="2:5" x14ac:dyDescent="0.2">
      <c r="B73" s="11" t="s">
        <v>284</v>
      </c>
      <c r="C73" s="226"/>
      <c r="D73" s="219">
        <v>6.17</v>
      </c>
      <c r="E73" s="56">
        <f t="shared" si="1"/>
        <v>0</v>
      </c>
    </row>
    <row r="74" spans="2:5" x14ac:dyDescent="0.2">
      <c r="B74" s="11" t="s">
        <v>285</v>
      </c>
      <c r="C74" s="226"/>
      <c r="D74" s="219">
        <v>6.95</v>
      </c>
      <c r="E74" s="56">
        <f t="shared" si="1"/>
        <v>0</v>
      </c>
    </row>
    <row r="75" spans="2:5" x14ac:dyDescent="0.2">
      <c r="B75" s="11"/>
      <c r="C75" s="226"/>
      <c r="D75" s="219"/>
      <c r="E75" s="56">
        <f t="shared" si="1"/>
        <v>0</v>
      </c>
    </row>
    <row r="76" spans="2:5" x14ac:dyDescent="0.2">
      <c r="B76" s="11" t="s">
        <v>94</v>
      </c>
      <c r="C76" s="226"/>
      <c r="D76" s="219">
        <v>1.56</v>
      </c>
      <c r="E76" s="56">
        <f t="shared" si="1"/>
        <v>0</v>
      </c>
    </row>
    <row r="77" spans="2:5" x14ac:dyDescent="0.2">
      <c r="B77" s="11" t="s">
        <v>864</v>
      </c>
      <c r="C77" s="226"/>
      <c r="D77" s="219">
        <v>1.54</v>
      </c>
      <c r="E77" s="56">
        <f t="shared" si="1"/>
        <v>0</v>
      </c>
    </row>
    <row r="78" spans="2:5" x14ac:dyDescent="0.2">
      <c r="B78" s="11" t="s">
        <v>984</v>
      </c>
      <c r="C78" s="226"/>
      <c r="D78" s="219">
        <v>1.08</v>
      </c>
      <c r="E78" s="56">
        <f t="shared" si="1"/>
        <v>0</v>
      </c>
    </row>
    <row r="79" spans="2:5" x14ac:dyDescent="0.2">
      <c r="B79" s="11" t="s">
        <v>1136</v>
      </c>
      <c r="C79" s="226"/>
      <c r="D79" s="219">
        <v>2.86</v>
      </c>
      <c r="E79" s="56">
        <f t="shared" si="1"/>
        <v>0</v>
      </c>
    </row>
    <row r="80" spans="2:5" x14ac:dyDescent="0.2">
      <c r="B80" s="11" t="s">
        <v>1254</v>
      </c>
      <c r="C80" s="226"/>
      <c r="D80" s="219">
        <v>1.45</v>
      </c>
      <c r="E80" s="56">
        <f t="shared" si="1"/>
        <v>0</v>
      </c>
    </row>
    <row r="81" spans="2:5" x14ac:dyDescent="0.2">
      <c r="B81" s="11"/>
      <c r="C81" s="226"/>
      <c r="D81" s="219"/>
      <c r="E81" s="56">
        <f t="shared" si="1"/>
        <v>0</v>
      </c>
    </row>
    <row r="82" spans="2:5" x14ac:dyDescent="0.2">
      <c r="B82" s="11" t="s">
        <v>286</v>
      </c>
      <c r="C82" s="226"/>
      <c r="D82" s="219">
        <v>18.63</v>
      </c>
      <c r="E82" s="56">
        <f t="shared" si="1"/>
        <v>0</v>
      </c>
    </row>
    <row r="83" spans="2:5" x14ac:dyDescent="0.2">
      <c r="B83" s="11" t="s">
        <v>1138</v>
      </c>
      <c r="C83" s="226"/>
      <c r="D83" s="219">
        <v>26.03</v>
      </c>
      <c r="E83" s="56">
        <f t="shared" si="1"/>
        <v>0</v>
      </c>
    </row>
    <row r="84" spans="2:5" x14ac:dyDescent="0.2">
      <c r="B84" s="61" t="s">
        <v>289</v>
      </c>
      <c r="C84" s="226"/>
      <c r="D84" s="219">
        <v>326.52999999999997</v>
      </c>
      <c r="E84" s="56">
        <f t="shared" si="1"/>
        <v>0</v>
      </c>
    </row>
    <row r="85" spans="2:5" x14ac:dyDescent="0.2">
      <c r="B85" s="61" t="s">
        <v>291</v>
      </c>
      <c r="C85" s="226"/>
      <c r="D85" s="219"/>
      <c r="E85" s="56">
        <f t="shared" si="1"/>
        <v>0</v>
      </c>
    </row>
    <row r="86" spans="2:5" x14ac:dyDescent="0.2">
      <c r="B86" s="11" t="s">
        <v>215</v>
      </c>
      <c r="C86" s="226"/>
      <c r="D86" s="219">
        <v>28.42</v>
      </c>
      <c r="E86" s="56">
        <f t="shared" si="1"/>
        <v>0</v>
      </c>
    </row>
    <row r="87" spans="2:5" x14ac:dyDescent="0.2">
      <c r="B87" s="11" t="s">
        <v>288</v>
      </c>
      <c r="C87" s="226"/>
      <c r="D87" s="219">
        <v>27</v>
      </c>
      <c r="E87" s="56">
        <f t="shared" si="1"/>
        <v>0</v>
      </c>
    </row>
    <row r="88" spans="2:5" x14ac:dyDescent="0.2">
      <c r="B88" s="11" t="s">
        <v>287</v>
      </c>
      <c r="C88" s="226"/>
      <c r="D88" s="219">
        <v>27</v>
      </c>
      <c r="E88" s="56">
        <f t="shared" si="1"/>
        <v>0</v>
      </c>
    </row>
    <row r="89" spans="2:5" x14ac:dyDescent="0.2">
      <c r="B89" s="27" t="s">
        <v>292</v>
      </c>
      <c r="C89" s="226"/>
      <c r="D89" s="219">
        <v>55.33</v>
      </c>
      <c r="E89" s="56">
        <f t="shared" si="1"/>
        <v>0</v>
      </c>
    </row>
    <row r="90" spans="2:5" x14ac:dyDescent="0.2">
      <c r="B90" s="61" t="s">
        <v>290</v>
      </c>
      <c r="C90" s="226"/>
      <c r="D90" s="219">
        <v>124.62</v>
      </c>
      <c r="E90" s="56">
        <f t="shared" si="1"/>
        <v>0</v>
      </c>
    </row>
    <row r="91" spans="2:5" x14ac:dyDescent="0.2">
      <c r="B91" s="27" t="s">
        <v>293</v>
      </c>
      <c r="C91" s="226"/>
      <c r="D91" s="219">
        <v>55</v>
      </c>
      <c r="E91" s="56">
        <f t="shared" si="1"/>
        <v>0</v>
      </c>
    </row>
    <row r="92" spans="2:5" x14ac:dyDescent="0.2">
      <c r="B92" s="61" t="s">
        <v>168</v>
      </c>
      <c r="C92" s="226"/>
      <c r="D92" s="219">
        <v>39.600999999999999</v>
      </c>
      <c r="E92" s="56">
        <f t="shared" si="1"/>
        <v>0</v>
      </c>
    </row>
    <row r="93" spans="2:5" x14ac:dyDescent="0.2">
      <c r="B93" s="11" t="s">
        <v>295</v>
      </c>
      <c r="C93" s="226"/>
      <c r="D93" s="219">
        <v>72.67</v>
      </c>
      <c r="E93" s="56">
        <f t="shared" si="1"/>
        <v>0</v>
      </c>
    </row>
    <row r="94" spans="2:5" x14ac:dyDescent="0.2">
      <c r="B94" s="11" t="s">
        <v>1140</v>
      </c>
      <c r="C94" s="226"/>
      <c r="D94" s="219"/>
      <c r="E94" s="56">
        <f t="shared" si="1"/>
        <v>0</v>
      </c>
    </row>
    <row r="95" spans="2:5" x14ac:dyDescent="0.2">
      <c r="B95" s="11" t="s">
        <v>1292</v>
      </c>
      <c r="C95" s="226"/>
      <c r="D95" s="219">
        <v>12</v>
      </c>
      <c r="E95" s="56">
        <f t="shared" si="1"/>
        <v>0</v>
      </c>
    </row>
    <row r="96" spans="2:5" x14ac:dyDescent="0.2">
      <c r="B96" s="11" t="s">
        <v>835</v>
      </c>
      <c r="C96" s="226"/>
      <c r="D96" s="219">
        <v>9.4600000000000009</v>
      </c>
      <c r="E96" s="56">
        <f t="shared" si="1"/>
        <v>0</v>
      </c>
    </row>
    <row r="97" spans="2:5" x14ac:dyDescent="0.2">
      <c r="B97" s="11" t="s">
        <v>982</v>
      </c>
      <c r="C97" s="226"/>
      <c r="D97" s="219">
        <v>4.62</v>
      </c>
      <c r="E97" s="56">
        <f t="shared" si="1"/>
        <v>0</v>
      </c>
    </row>
    <row r="98" spans="2:5" x14ac:dyDescent="0.2">
      <c r="B98" s="11" t="s">
        <v>1139</v>
      </c>
      <c r="C98" s="226"/>
      <c r="D98" s="219">
        <v>33</v>
      </c>
      <c r="E98" s="56">
        <f t="shared" si="1"/>
        <v>0</v>
      </c>
    </row>
    <row r="99" spans="2:5" x14ac:dyDescent="0.2">
      <c r="B99" s="11"/>
      <c r="C99" s="226"/>
      <c r="D99" s="219"/>
      <c r="E99" s="56">
        <f t="shared" si="1"/>
        <v>0</v>
      </c>
    </row>
    <row r="100" spans="2:5" x14ac:dyDescent="0.2">
      <c r="B100" s="11" t="s">
        <v>296</v>
      </c>
      <c r="C100" s="226">
        <v>0.3</v>
      </c>
      <c r="D100" s="219">
        <v>35.369999999999997</v>
      </c>
      <c r="E100" s="56">
        <f t="shared" si="1"/>
        <v>10.610999999999999</v>
      </c>
    </row>
    <row r="101" spans="2:5" x14ac:dyDescent="0.2">
      <c r="B101" s="59" t="s">
        <v>147</v>
      </c>
      <c r="C101" s="226"/>
      <c r="D101" s="219">
        <v>12.94</v>
      </c>
      <c r="E101" s="56">
        <f t="shared" si="1"/>
        <v>0</v>
      </c>
    </row>
    <row r="102" spans="2:5" x14ac:dyDescent="0.2">
      <c r="B102" s="59" t="s">
        <v>1147</v>
      </c>
      <c r="C102" s="226"/>
      <c r="D102" s="219">
        <v>162.52000000000001</v>
      </c>
      <c r="E102" s="56">
        <f t="shared" si="1"/>
        <v>0</v>
      </c>
    </row>
    <row r="103" spans="2:5" x14ac:dyDescent="0.2">
      <c r="B103" s="59" t="s">
        <v>162</v>
      </c>
      <c r="C103" s="226">
        <v>0.9</v>
      </c>
      <c r="D103" s="219">
        <v>33.979999999999997</v>
      </c>
      <c r="E103" s="56">
        <f t="shared" si="1"/>
        <v>30.581999999999997</v>
      </c>
    </row>
    <row r="104" spans="2:5" x14ac:dyDescent="0.2">
      <c r="B104" s="59"/>
      <c r="C104" s="226"/>
      <c r="D104" s="219"/>
      <c r="E104" s="56">
        <f t="shared" si="1"/>
        <v>0</v>
      </c>
    </row>
    <row r="105" spans="2:5" x14ac:dyDescent="0.2">
      <c r="B105" s="59" t="s">
        <v>1146</v>
      </c>
      <c r="C105" s="226"/>
      <c r="D105" s="219"/>
      <c r="E105" s="56">
        <f t="shared" si="1"/>
        <v>0</v>
      </c>
    </row>
    <row r="106" spans="2:5" x14ac:dyDescent="0.2">
      <c r="B106" s="11" t="s">
        <v>1252</v>
      </c>
      <c r="C106" s="226"/>
      <c r="D106" s="219">
        <v>12.92</v>
      </c>
      <c r="E106" s="56">
        <f t="shared" si="1"/>
        <v>0</v>
      </c>
    </row>
    <row r="107" spans="2:5" x14ac:dyDescent="0.2">
      <c r="B107" s="58" t="s">
        <v>298</v>
      </c>
      <c r="C107" s="226"/>
      <c r="D107" s="219">
        <v>10.77</v>
      </c>
      <c r="E107" s="56">
        <f t="shared" si="1"/>
        <v>0</v>
      </c>
    </row>
    <row r="108" spans="2:5" x14ac:dyDescent="0.2">
      <c r="B108" s="59" t="s">
        <v>87</v>
      </c>
      <c r="C108" s="226"/>
      <c r="D108" s="219">
        <v>16.55</v>
      </c>
      <c r="E108" s="56">
        <f t="shared" si="1"/>
        <v>0</v>
      </c>
    </row>
    <row r="109" spans="2:5" x14ac:dyDescent="0.2">
      <c r="B109" s="59" t="s">
        <v>140</v>
      </c>
      <c r="C109" s="226">
        <f>0.9+5.5</f>
        <v>6.4</v>
      </c>
      <c r="D109" s="219">
        <v>12</v>
      </c>
      <c r="E109" s="56">
        <f t="shared" si="1"/>
        <v>76.800000000000011</v>
      </c>
    </row>
    <row r="110" spans="2:5" x14ac:dyDescent="0.2">
      <c r="B110" s="59" t="s">
        <v>299</v>
      </c>
      <c r="C110" s="226">
        <v>1.5</v>
      </c>
      <c r="D110" s="219">
        <v>27.93</v>
      </c>
      <c r="E110" s="56">
        <f t="shared" si="1"/>
        <v>41.894999999999996</v>
      </c>
    </row>
    <row r="111" spans="2:5" x14ac:dyDescent="0.2">
      <c r="B111" s="59" t="s">
        <v>300</v>
      </c>
      <c r="C111" s="226">
        <v>3</v>
      </c>
      <c r="D111" s="219">
        <v>24.08</v>
      </c>
      <c r="E111" s="56">
        <f t="shared" si="1"/>
        <v>72.239999999999995</v>
      </c>
    </row>
    <row r="112" spans="2:5" x14ac:dyDescent="0.2">
      <c r="B112" s="59" t="s">
        <v>833</v>
      </c>
      <c r="C112" s="226"/>
      <c r="D112" s="219">
        <v>15.32</v>
      </c>
      <c r="E112" s="56">
        <f t="shared" si="1"/>
        <v>0</v>
      </c>
    </row>
    <row r="113" spans="2:5" x14ac:dyDescent="0.2">
      <c r="B113" s="59" t="s">
        <v>301</v>
      </c>
      <c r="C113" s="226"/>
      <c r="D113" s="219">
        <v>24.68</v>
      </c>
      <c r="E113" s="56">
        <f t="shared" si="1"/>
        <v>0</v>
      </c>
    </row>
    <row r="114" spans="2:5" x14ac:dyDescent="0.2">
      <c r="B114" s="59" t="s">
        <v>302</v>
      </c>
      <c r="C114" s="226"/>
      <c r="D114" s="219">
        <v>15</v>
      </c>
      <c r="E114" s="56">
        <f t="shared" si="1"/>
        <v>0</v>
      </c>
    </row>
    <row r="115" spans="2:5" x14ac:dyDescent="0.2">
      <c r="B115" s="59" t="s">
        <v>304</v>
      </c>
      <c r="C115" s="226"/>
      <c r="D115" s="219">
        <v>21.08</v>
      </c>
      <c r="E115" s="56">
        <f t="shared" si="1"/>
        <v>0</v>
      </c>
    </row>
    <row r="116" spans="2:5" x14ac:dyDescent="0.2">
      <c r="B116" s="59" t="s">
        <v>303</v>
      </c>
      <c r="C116" s="226">
        <v>1.9</v>
      </c>
      <c r="D116" s="219">
        <v>26.31</v>
      </c>
      <c r="E116" s="56">
        <f t="shared" si="1"/>
        <v>49.988999999999997</v>
      </c>
    </row>
    <row r="117" spans="2:5" x14ac:dyDescent="0.2">
      <c r="B117" s="59" t="s">
        <v>901</v>
      </c>
      <c r="C117" s="226"/>
      <c r="D117" s="219">
        <v>31.016999999999999</v>
      </c>
      <c r="E117" s="56">
        <f t="shared" si="1"/>
        <v>0</v>
      </c>
    </row>
    <row r="118" spans="2:5" x14ac:dyDescent="0.2">
      <c r="B118" s="59" t="s">
        <v>305</v>
      </c>
      <c r="C118" s="226"/>
      <c r="D118" s="219">
        <v>26.31</v>
      </c>
      <c r="E118" s="56">
        <f t="shared" si="1"/>
        <v>0</v>
      </c>
    </row>
    <row r="119" spans="2:5" x14ac:dyDescent="0.2">
      <c r="B119" s="59" t="s">
        <v>894</v>
      </c>
      <c r="C119" s="226"/>
      <c r="D119" s="219"/>
      <c r="E119" s="56">
        <f t="shared" si="1"/>
        <v>0</v>
      </c>
    </row>
    <row r="120" spans="2:5" x14ac:dyDescent="0.2">
      <c r="B120" s="59" t="s">
        <v>895</v>
      </c>
      <c r="C120" s="226">
        <v>0.1</v>
      </c>
      <c r="D120" s="219">
        <v>34.03</v>
      </c>
      <c r="E120" s="56">
        <f t="shared" si="1"/>
        <v>3.4030000000000005</v>
      </c>
    </row>
    <row r="121" spans="2:5" x14ac:dyDescent="0.2">
      <c r="B121" s="58" t="s">
        <v>862</v>
      </c>
      <c r="C121" s="226"/>
      <c r="D121" s="219">
        <v>30.4</v>
      </c>
      <c r="E121" s="56">
        <f t="shared" si="1"/>
        <v>0</v>
      </c>
    </row>
    <row r="122" spans="2:5" x14ac:dyDescent="0.2">
      <c r="B122" s="58" t="s">
        <v>979</v>
      </c>
      <c r="C122" s="226"/>
      <c r="D122" s="219">
        <v>28</v>
      </c>
      <c r="E122" s="56">
        <f t="shared" si="1"/>
        <v>0</v>
      </c>
    </row>
    <row r="123" spans="2:5" x14ac:dyDescent="0.2">
      <c r="B123" s="58" t="s">
        <v>863</v>
      </c>
      <c r="C123" s="226"/>
      <c r="D123" s="219">
        <v>24.42</v>
      </c>
      <c r="E123" s="56">
        <f t="shared" si="1"/>
        <v>0</v>
      </c>
    </row>
    <row r="124" spans="2:5" x14ac:dyDescent="0.2">
      <c r="B124" s="11" t="s">
        <v>309</v>
      </c>
      <c r="C124" s="226"/>
      <c r="D124" s="219">
        <v>17.82</v>
      </c>
      <c r="E124" s="56">
        <f t="shared" si="1"/>
        <v>0</v>
      </c>
    </row>
    <row r="125" spans="2:5" x14ac:dyDescent="0.2">
      <c r="B125" s="59" t="s">
        <v>308</v>
      </c>
      <c r="C125" s="226">
        <f>2.6+0.8</f>
        <v>3.4000000000000004</v>
      </c>
      <c r="D125" s="219">
        <v>17.84</v>
      </c>
      <c r="E125" s="56">
        <f t="shared" si="1"/>
        <v>60.656000000000006</v>
      </c>
    </row>
    <row r="126" spans="2:5" x14ac:dyDescent="0.2">
      <c r="B126" s="59" t="s">
        <v>980</v>
      </c>
      <c r="C126" s="226"/>
      <c r="D126" s="219">
        <v>30</v>
      </c>
      <c r="E126" s="56">
        <f t="shared" si="1"/>
        <v>0</v>
      </c>
    </row>
    <row r="127" spans="2:5" x14ac:dyDescent="0.2">
      <c r="B127" s="59" t="s">
        <v>813</v>
      </c>
      <c r="C127" s="226"/>
      <c r="D127" s="219">
        <v>9.2899999999999991</v>
      </c>
      <c r="E127" s="56">
        <f t="shared" si="1"/>
        <v>0</v>
      </c>
    </row>
    <row r="128" spans="2:5" x14ac:dyDescent="0.2">
      <c r="B128" s="11" t="s">
        <v>81</v>
      </c>
      <c r="C128" s="226">
        <v>0.6</v>
      </c>
      <c r="D128" s="219">
        <v>29.1</v>
      </c>
      <c r="E128" s="56">
        <f t="shared" si="1"/>
        <v>17.46</v>
      </c>
    </row>
    <row r="129" spans="2:5" x14ac:dyDescent="0.2">
      <c r="B129" s="59" t="s">
        <v>311</v>
      </c>
      <c r="C129" s="226"/>
      <c r="D129" s="219">
        <v>31.74</v>
      </c>
      <c r="E129" s="56">
        <f t="shared" si="1"/>
        <v>0</v>
      </c>
    </row>
    <row r="130" spans="2:5" x14ac:dyDescent="0.2">
      <c r="B130" s="11" t="s">
        <v>312</v>
      </c>
      <c r="C130" s="226"/>
      <c r="D130" s="219">
        <v>17.420000000000002</v>
      </c>
      <c r="E130" s="56">
        <f t="shared" si="1"/>
        <v>0</v>
      </c>
    </row>
    <row r="131" spans="2:5" x14ac:dyDescent="0.2">
      <c r="B131" s="11" t="s">
        <v>313</v>
      </c>
      <c r="C131" s="226">
        <v>1.2</v>
      </c>
      <c r="D131" s="219">
        <v>17.420000000000002</v>
      </c>
      <c r="E131" s="56">
        <f t="shared" si="1"/>
        <v>20.904</v>
      </c>
    </row>
    <row r="132" spans="2:5" x14ac:dyDescent="0.2">
      <c r="B132" s="11" t="s">
        <v>1008</v>
      </c>
      <c r="C132" s="226"/>
      <c r="D132" s="219">
        <v>20.5</v>
      </c>
      <c r="E132" s="56">
        <f t="shared" si="1"/>
        <v>0</v>
      </c>
    </row>
    <row r="133" spans="2:5" x14ac:dyDescent="0.2">
      <c r="B133" s="59" t="s">
        <v>315</v>
      </c>
      <c r="C133" s="226"/>
      <c r="D133" s="219">
        <v>22.7</v>
      </c>
      <c r="E133" s="56">
        <f t="shared" ref="E133:E196" si="2">C133*D133</f>
        <v>0</v>
      </c>
    </row>
    <row r="134" spans="2:5" x14ac:dyDescent="0.2">
      <c r="B134" s="11" t="s">
        <v>903</v>
      </c>
      <c r="C134" s="226">
        <v>4</v>
      </c>
      <c r="D134" s="219">
        <v>17.45</v>
      </c>
      <c r="E134" s="56">
        <f t="shared" si="2"/>
        <v>69.8</v>
      </c>
    </row>
    <row r="135" spans="2:5" x14ac:dyDescent="0.2">
      <c r="B135" s="59" t="s">
        <v>319</v>
      </c>
      <c r="C135" s="226">
        <v>0.8</v>
      </c>
      <c r="D135" s="219">
        <v>23.027000000000001</v>
      </c>
      <c r="E135" s="56">
        <f t="shared" si="2"/>
        <v>18.421600000000002</v>
      </c>
    </row>
    <row r="136" spans="2:5" x14ac:dyDescent="0.2">
      <c r="B136" s="11" t="s">
        <v>320</v>
      </c>
      <c r="C136" s="226"/>
      <c r="D136" s="219">
        <v>11.018000000000001</v>
      </c>
      <c r="E136" s="56">
        <f t="shared" si="2"/>
        <v>0</v>
      </c>
    </row>
    <row r="137" spans="2:5" x14ac:dyDescent="0.2">
      <c r="B137" s="58" t="s">
        <v>321</v>
      </c>
      <c r="C137" s="226">
        <v>2</v>
      </c>
      <c r="D137" s="219">
        <v>11.95</v>
      </c>
      <c r="E137" s="56">
        <f t="shared" si="2"/>
        <v>23.9</v>
      </c>
    </row>
    <row r="138" spans="2:5" x14ac:dyDescent="0.2">
      <c r="B138" s="27" t="s">
        <v>323</v>
      </c>
      <c r="C138" s="226"/>
      <c r="D138" s="219">
        <v>22.63</v>
      </c>
      <c r="E138" s="56">
        <f t="shared" si="2"/>
        <v>0</v>
      </c>
    </row>
    <row r="139" spans="2:5" x14ac:dyDescent="0.2">
      <c r="B139" s="58" t="s">
        <v>322</v>
      </c>
      <c r="C139" s="226">
        <f>0.8+4</f>
        <v>4.8</v>
      </c>
      <c r="D139" s="219">
        <v>24.31</v>
      </c>
      <c r="E139" s="56">
        <f t="shared" si="2"/>
        <v>116.68799999999999</v>
      </c>
    </row>
    <row r="140" spans="2:5" x14ac:dyDescent="0.2">
      <c r="B140" s="11" t="s">
        <v>324</v>
      </c>
      <c r="C140" s="226"/>
      <c r="D140" s="219">
        <v>17.690000000000001</v>
      </c>
      <c r="E140" s="56">
        <f t="shared" si="2"/>
        <v>0</v>
      </c>
    </row>
    <row r="141" spans="2:5" x14ac:dyDescent="0.2">
      <c r="B141" s="27" t="s">
        <v>326</v>
      </c>
      <c r="C141" s="226">
        <v>0.1</v>
      </c>
      <c r="D141" s="219">
        <v>11.7</v>
      </c>
      <c r="E141" s="56">
        <f t="shared" si="2"/>
        <v>1.17</v>
      </c>
    </row>
    <row r="142" spans="2:5" x14ac:dyDescent="0.2">
      <c r="B142" s="27" t="s">
        <v>325</v>
      </c>
      <c r="C142" s="226"/>
      <c r="D142" s="219">
        <v>15</v>
      </c>
      <c r="E142" s="56">
        <f t="shared" si="2"/>
        <v>0</v>
      </c>
    </row>
    <row r="143" spans="2:5" x14ac:dyDescent="0.2">
      <c r="B143" s="11" t="s">
        <v>327</v>
      </c>
      <c r="C143" s="226">
        <v>1</v>
      </c>
      <c r="D143" s="219">
        <v>10.8</v>
      </c>
      <c r="E143" s="56">
        <f t="shared" si="2"/>
        <v>10.8</v>
      </c>
    </row>
    <row r="144" spans="2:5" x14ac:dyDescent="0.2">
      <c r="B144" s="58" t="s">
        <v>85</v>
      </c>
      <c r="C144" s="226"/>
      <c r="D144" s="219">
        <v>10.042</v>
      </c>
      <c r="E144" s="56">
        <f t="shared" si="2"/>
        <v>0</v>
      </c>
    </row>
    <row r="145" spans="2:5" x14ac:dyDescent="0.2">
      <c r="B145" s="58" t="s">
        <v>997</v>
      </c>
      <c r="C145" s="226"/>
      <c r="D145" s="219">
        <v>12</v>
      </c>
      <c r="E145" s="56">
        <f t="shared" si="2"/>
        <v>0</v>
      </c>
    </row>
    <row r="146" spans="2:5" x14ac:dyDescent="0.2">
      <c r="B146" s="58"/>
      <c r="C146" s="226"/>
      <c r="D146" s="219"/>
      <c r="E146" s="56">
        <f t="shared" si="2"/>
        <v>0</v>
      </c>
    </row>
    <row r="147" spans="2:5" x14ac:dyDescent="0.2">
      <c r="B147" s="58" t="s">
        <v>993</v>
      </c>
      <c r="C147" s="226"/>
      <c r="D147" s="219">
        <v>25</v>
      </c>
      <c r="E147" s="56">
        <f t="shared" si="2"/>
        <v>0</v>
      </c>
    </row>
    <row r="148" spans="2:5" x14ac:dyDescent="0.2">
      <c r="B148" s="58" t="s">
        <v>1019</v>
      </c>
      <c r="C148" s="226">
        <v>5.5</v>
      </c>
      <c r="D148" s="219">
        <v>10.63</v>
      </c>
      <c r="E148" s="56">
        <f t="shared" si="2"/>
        <v>58.465000000000003</v>
      </c>
    </row>
    <row r="149" spans="2:5" x14ac:dyDescent="0.15">
      <c r="B149" s="26" t="s">
        <v>857</v>
      </c>
      <c r="C149" s="226"/>
      <c r="D149" s="219">
        <v>9.6</v>
      </c>
      <c r="E149" s="56">
        <f t="shared" si="2"/>
        <v>0</v>
      </c>
    </row>
    <row r="150" spans="2:5" x14ac:dyDescent="0.2">
      <c r="B150" s="58" t="s">
        <v>879</v>
      </c>
      <c r="C150" s="226">
        <v>1.9</v>
      </c>
      <c r="D150" s="219">
        <v>15.16</v>
      </c>
      <c r="E150" s="56">
        <f t="shared" si="2"/>
        <v>28.803999999999998</v>
      </c>
    </row>
    <row r="151" spans="2:5" x14ac:dyDescent="0.2">
      <c r="B151" s="58" t="s">
        <v>329</v>
      </c>
      <c r="C151" s="226">
        <v>2.5</v>
      </c>
      <c r="D151" s="219">
        <v>11.83</v>
      </c>
      <c r="E151" s="56">
        <f t="shared" si="2"/>
        <v>29.574999999999999</v>
      </c>
    </row>
    <row r="152" spans="2:5" x14ac:dyDescent="0.2">
      <c r="B152" s="11" t="s">
        <v>330</v>
      </c>
      <c r="C152" s="226"/>
      <c r="D152" s="219">
        <v>12.18</v>
      </c>
      <c r="E152" s="56">
        <f t="shared" si="2"/>
        <v>0</v>
      </c>
    </row>
    <row r="153" spans="2:5" x14ac:dyDescent="0.2">
      <c r="B153" s="58" t="s">
        <v>878</v>
      </c>
      <c r="C153" s="226"/>
      <c r="D153" s="219">
        <v>16.25</v>
      </c>
      <c r="E153" s="56">
        <f t="shared" si="2"/>
        <v>0</v>
      </c>
    </row>
    <row r="154" spans="2:5" x14ac:dyDescent="0.2">
      <c r="B154" s="58" t="s">
        <v>331</v>
      </c>
      <c r="C154" s="226">
        <v>0.7</v>
      </c>
      <c r="D154" s="219">
        <v>16.25</v>
      </c>
      <c r="E154" s="56">
        <f t="shared" si="2"/>
        <v>11.375</v>
      </c>
    </row>
    <row r="155" spans="2:5" x14ac:dyDescent="0.2">
      <c r="B155" s="59" t="s">
        <v>332</v>
      </c>
      <c r="C155" s="226">
        <f>0.4+2</f>
        <v>2.4</v>
      </c>
      <c r="D155" s="219">
        <v>9.74</v>
      </c>
      <c r="E155" s="56">
        <f t="shared" si="2"/>
        <v>23.376000000000001</v>
      </c>
    </row>
    <row r="156" spans="2:5" x14ac:dyDescent="0.2">
      <c r="B156" s="11" t="s">
        <v>877</v>
      </c>
      <c r="C156" s="226"/>
      <c r="D156" s="219">
        <v>12.29</v>
      </c>
      <c r="E156" s="56">
        <f t="shared" si="2"/>
        <v>0</v>
      </c>
    </row>
    <row r="157" spans="2:5" x14ac:dyDescent="0.2">
      <c r="B157" s="59" t="s">
        <v>333</v>
      </c>
      <c r="C157" s="226">
        <v>1.8</v>
      </c>
      <c r="D157" s="219">
        <v>11.43</v>
      </c>
      <c r="E157" s="56">
        <f t="shared" si="2"/>
        <v>20.574000000000002</v>
      </c>
    </row>
    <row r="158" spans="2:5" x14ac:dyDescent="0.2">
      <c r="B158" s="23" t="s">
        <v>334</v>
      </c>
      <c r="C158" s="226">
        <v>1</v>
      </c>
      <c r="D158" s="219">
        <v>10.34</v>
      </c>
      <c r="E158" s="56">
        <f t="shared" si="2"/>
        <v>10.34</v>
      </c>
    </row>
    <row r="159" spans="2:5" x14ac:dyDescent="0.2">
      <c r="B159" s="59" t="s">
        <v>335</v>
      </c>
      <c r="C159" s="226"/>
      <c r="D159" s="219">
        <v>10.48</v>
      </c>
      <c r="E159" s="56">
        <f t="shared" si="2"/>
        <v>0</v>
      </c>
    </row>
    <row r="160" spans="2:5" x14ac:dyDescent="0.2">
      <c r="B160" s="27" t="s">
        <v>923</v>
      </c>
      <c r="C160" s="226">
        <v>1.3</v>
      </c>
      <c r="D160" s="219">
        <v>13.65</v>
      </c>
      <c r="E160" s="56">
        <f t="shared" si="2"/>
        <v>17.745000000000001</v>
      </c>
    </row>
    <row r="161" spans="2:5" x14ac:dyDescent="0.2">
      <c r="B161" s="11" t="s">
        <v>908</v>
      </c>
      <c r="C161" s="226"/>
      <c r="D161" s="219">
        <v>11.64</v>
      </c>
      <c r="E161" s="56">
        <f t="shared" si="2"/>
        <v>0</v>
      </c>
    </row>
    <row r="162" spans="2:5" x14ac:dyDescent="0.2">
      <c r="B162" s="23" t="s">
        <v>924</v>
      </c>
      <c r="C162" s="226"/>
      <c r="D162" s="219">
        <v>15.4</v>
      </c>
      <c r="E162" s="56">
        <f t="shared" si="2"/>
        <v>0</v>
      </c>
    </row>
    <row r="163" spans="2:5" x14ac:dyDescent="0.2">
      <c r="B163" s="11" t="s">
        <v>337</v>
      </c>
      <c r="C163" s="226"/>
      <c r="D163" s="219">
        <v>13.77</v>
      </c>
      <c r="E163" s="56">
        <f t="shared" si="2"/>
        <v>0</v>
      </c>
    </row>
    <row r="164" spans="2:5" x14ac:dyDescent="0.2">
      <c r="B164" s="59" t="s">
        <v>139</v>
      </c>
      <c r="C164" s="226"/>
      <c r="D164" s="219">
        <v>8</v>
      </c>
      <c r="E164" s="56">
        <f t="shared" si="2"/>
        <v>0</v>
      </c>
    </row>
    <row r="165" spans="2:5" x14ac:dyDescent="0.2">
      <c r="B165" s="59" t="s">
        <v>975</v>
      </c>
      <c r="C165" s="226">
        <v>0.5</v>
      </c>
      <c r="D165" s="219">
        <v>15.88</v>
      </c>
      <c r="E165" s="56">
        <f t="shared" si="2"/>
        <v>7.94</v>
      </c>
    </row>
    <row r="166" spans="2:5" x14ac:dyDescent="0.2">
      <c r="B166" s="27" t="s">
        <v>338</v>
      </c>
      <c r="C166" s="226">
        <v>3.4</v>
      </c>
      <c r="D166" s="219">
        <v>15.87</v>
      </c>
      <c r="E166" s="56">
        <f t="shared" si="2"/>
        <v>53.957999999999998</v>
      </c>
    </row>
    <row r="167" spans="2:5" x14ac:dyDescent="0.2">
      <c r="B167" s="27" t="s">
        <v>339</v>
      </c>
      <c r="C167" s="226">
        <v>1.5</v>
      </c>
      <c r="D167" s="219">
        <v>7.34</v>
      </c>
      <c r="E167" s="56">
        <f t="shared" si="2"/>
        <v>11.01</v>
      </c>
    </row>
    <row r="168" spans="2:5" x14ac:dyDescent="0.2">
      <c r="B168" s="11" t="s">
        <v>340</v>
      </c>
      <c r="C168" s="226"/>
      <c r="D168" s="219">
        <v>7.62</v>
      </c>
      <c r="E168" s="56">
        <f t="shared" si="2"/>
        <v>0</v>
      </c>
    </row>
    <row r="169" spans="2:5" x14ac:dyDescent="0.2">
      <c r="B169" s="11" t="s">
        <v>925</v>
      </c>
      <c r="C169" s="226">
        <f>0.4+2</f>
        <v>2.4</v>
      </c>
      <c r="D169" s="219">
        <v>16.12</v>
      </c>
      <c r="E169" s="56">
        <f t="shared" si="2"/>
        <v>38.688000000000002</v>
      </c>
    </row>
    <row r="170" spans="2:5" x14ac:dyDescent="0.2">
      <c r="B170" s="59" t="s">
        <v>341</v>
      </c>
      <c r="C170" s="226"/>
      <c r="D170" s="219">
        <v>14.28</v>
      </c>
      <c r="E170" s="56">
        <f t="shared" si="2"/>
        <v>0</v>
      </c>
    </row>
    <row r="171" spans="2:5" x14ac:dyDescent="0.2">
      <c r="B171" s="27" t="s">
        <v>342</v>
      </c>
      <c r="C171" s="226"/>
      <c r="D171" s="219">
        <v>10.64</v>
      </c>
      <c r="E171" s="56">
        <f t="shared" si="2"/>
        <v>0</v>
      </c>
    </row>
    <row r="172" spans="2:5" x14ac:dyDescent="0.2">
      <c r="B172" s="11" t="s">
        <v>876</v>
      </c>
      <c r="C172" s="226"/>
      <c r="D172" s="219">
        <v>17.71</v>
      </c>
      <c r="E172" s="56">
        <f t="shared" si="2"/>
        <v>0</v>
      </c>
    </row>
    <row r="173" spans="2:5" x14ac:dyDescent="0.2">
      <c r="B173" s="59" t="s">
        <v>343</v>
      </c>
      <c r="C173" s="226"/>
      <c r="D173" s="219">
        <v>23.48</v>
      </c>
      <c r="E173" s="56">
        <f t="shared" si="2"/>
        <v>0</v>
      </c>
    </row>
    <row r="174" spans="2:5" x14ac:dyDescent="0.2">
      <c r="B174" s="59" t="s">
        <v>1297</v>
      </c>
      <c r="C174" s="226">
        <v>3</v>
      </c>
      <c r="D174" s="219">
        <v>23</v>
      </c>
      <c r="E174" s="56">
        <f t="shared" si="2"/>
        <v>69</v>
      </c>
    </row>
    <row r="175" spans="2:5" x14ac:dyDescent="0.2">
      <c r="B175" s="59" t="s">
        <v>344</v>
      </c>
      <c r="C175" s="226"/>
      <c r="D175" s="219">
        <v>13.57</v>
      </c>
      <c r="E175" s="56">
        <f t="shared" si="2"/>
        <v>0</v>
      </c>
    </row>
    <row r="176" spans="2:5" x14ac:dyDescent="0.2">
      <c r="B176" s="59" t="s">
        <v>345</v>
      </c>
      <c r="C176" s="226">
        <f>0.3+5</f>
        <v>5.3</v>
      </c>
      <c r="D176" s="219">
        <v>12.91</v>
      </c>
      <c r="E176" s="56">
        <f t="shared" si="2"/>
        <v>68.423000000000002</v>
      </c>
    </row>
    <row r="177" spans="2:5" x14ac:dyDescent="0.2">
      <c r="B177" s="59" t="s">
        <v>346</v>
      </c>
      <c r="C177" s="226"/>
      <c r="D177" s="219">
        <v>9.66</v>
      </c>
      <c r="E177" s="56">
        <f t="shared" si="2"/>
        <v>0</v>
      </c>
    </row>
    <row r="178" spans="2:5" x14ac:dyDescent="0.2">
      <c r="B178" s="11" t="s">
        <v>17</v>
      </c>
      <c r="C178" s="226"/>
      <c r="D178" s="219">
        <v>12.83</v>
      </c>
      <c r="E178" s="56">
        <f t="shared" si="2"/>
        <v>0</v>
      </c>
    </row>
    <row r="179" spans="2:5" x14ac:dyDescent="0.2">
      <c r="B179" s="27" t="s">
        <v>131</v>
      </c>
      <c r="C179" s="226"/>
      <c r="D179" s="219">
        <v>16.25</v>
      </c>
      <c r="E179" s="56">
        <f t="shared" si="2"/>
        <v>0</v>
      </c>
    </row>
    <row r="180" spans="2:5" x14ac:dyDescent="0.2">
      <c r="B180" s="11" t="s">
        <v>926</v>
      </c>
      <c r="C180" s="226"/>
      <c r="D180" s="219">
        <v>12.45</v>
      </c>
      <c r="E180" s="56">
        <f t="shared" si="2"/>
        <v>0</v>
      </c>
    </row>
    <row r="181" spans="2:5" x14ac:dyDescent="0.2">
      <c r="B181" s="11" t="s">
        <v>348</v>
      </c>
      <c r="C181" s="226">
        <v>2</v>
      </c>
      <c r="D181" s="219">
        <v>23.41</v>
      </c>
      <c r="E181" s="56">
        <f t="shared" si="2"/>
        <v>46.82</v>
      </c>
    </row>
    <row r="182" spans="2:5" x14ac:dyDescent="0.2">
      <c r="B182" s="11" t="s">
        <v>349</v>
      </c>
      <c r="C182" s="226">
        <v>2.7</v>
      </c>
      <c r="D182" s="219">
        <v>21.01</v>
      </c>
      <c r="E182" s="56">
        <f t="shared" si="2"/>
        <v>56.727000000000011</v>
      </c>
    </row>
    <row r="183" spans="2:5" x14ac:dyDescent="0.2">
      <c r="B183" s="11" t="s">
        <v>904</v>
      </c>
      <c r="C183" s="226">
        <v>0.6</v>
      </c>
      <c r="D183" s="219">
        <v>24.95</v>
      </c>
      <c r="E183" s="56">
        <f t="shared" si="2"/>
        <v>14.969999999999999</v>
      </c>
    </row>
    <row r="184" spans="2:5" x14ac:dyDescent="0.2">
      <c r="B184" s="59" t="s">
        <v>831</v>
      </c>
      <c r="C184" s="226"/>
      <c r="D184" s="219">
        <v>12.52</v>
      </c>
      <c r="E184" s="56">
        <f t="shared" si="2"/>
        <v>0</v>
      </c>
    </row>
    <row r="185" spans="2:5" x14ac:dyDescent="0.2">
      <c r="B185" s="11" t="s">
        <v>71</v>
      </c>
      <c r="C185" s="226">
        <v>1</v>
      </c>
      <c r="D185" s="219">
        <v>16.53</v>
      </c>
      <c r="E185" s="56">
        <f t="shared" si="2"/>
        <v>16.53</v>
      </c>
    </row>
    <row r="186" spans="2:5" x14ac:dyDescent="0.2">
      <c r="B186" s="23" t="s">
        <v>927</v>
      </c>
      <c r="C186" s="226"/>
      <c r="D186" s="219">
        <v>15.61</v>
      </c>
      <c r="E186" s="56">
        <f t="shared" si="2"/>
        <v>0</v>
      </c>
    </row>
    <row r="187" spans="2:5" x14ac:dyDescent="0.2">
      <c r="B187" s="27" t="s">
        <v>351</v>
      </c>
      <c r="C187" s="226">
        <v>0.8</v>
      </c>
      <c r="D187" s="219">
        <v>19.510000000000002</v>
      </c>
      <c r="E187" s="56">
        <f t="shared" si="2"/>
        <v>15.608000000000002</v>
      </c>
    </row>
    <row r="188" spans="2:5" x14ac:dyDescent="0.2">
      <c r="B188" s="11" t="s">
        <v>352</v>
      </c>
      <c r="C188" s="226"/>
      <c r="D188" s="219">
        <v>16</v>
      </c>
      <c r="E188" s="56">
        <f t="shared" si="2"/>
        <v>0</v>
      </c>
    </row>
    <row r="189" spans="2:5" x14ac:dyDescent="0.2">
      <c r="B189" s="27" t="s">
        <v>928</v>
      </c>
      <c r="C189" s="226">
        <v>2.2999999999999998</v>
      </c>
      <c r="D189" s="219">
        <v>11.91</v>
      </c>
      <c r="E189" s="56">
        <f t="shared" si="2"/>
        <v>27.392999999999997</v>
      </c>
    </row>
    <row r="190" spans="2:5" x14ac:dyDescent="0.2">
      <c r="B190" s="27" t="s">
        <v>353</v>
      </c>
      <c r="C190" s="226"/>
      <c r="D190" s="219">
        <v>11.91</v>
      </c>
      <c r="E190" s="56">
        <f t="shared" si="2"/>
        <v>0</v>
      </c>
    </row>
    <row r="191" spans="2:5" x14ac:dyDescent="0.2">
      <c r="B191" s="11" t="s">
        <v>354</v>
      </c>
      <c r="C191" s="226"/>
      <c r="D191" s="219">
        <v>12.77</v>
      </c>
      <c r="E191" s="56">
        <f t="shared" si="2"/>
        <v>0</v>
      </c>
    </row>
    <row r="192" spans="2:5" x14ac:dyDescent="0.2">
      <c r="B192" s="11" t="s">
        <v>355</v>
      </c>
      <c r="C192" s="226">
        <v>0.3</v>
      </c>
      <c r="D192" s="219">
        <v>13.9</v>
      </c>
      <c r="E192" s="56">
        <f t="shared" si="2"/>
        <v>4.17</v>
      </c>
    </row>
    <row r="193" spans="2:5" x14ac:dyDescent="0.2">
      <c r="B193" s="58" t="s">
        <v>881</v>
      </c>
      <c r="C193" s="226"/>
      <c r="D193" s="219">
        <v>15</v>
      </c>
      <c r="E193" s="56">
        <f t="shared" si="2"/>
        <v>0</v>
      </c>
    </row>
    <row r="194" spans="2:5" x14ac:dyDescent="0.2">
      <c r="B194" s="27" t="s">
        <v>356</v>
      </c>
      <c r="C194" s="226">
        <v>1.9</v>
      </c>
      <c r="D194" s="219">
        <v>12.51</v>
      </c>
      <c r="E194" s="56">
        <f t="shared" si="2"/>
        <v>23.768999999999998</v>
      </c>
    </row>
    <row r="195" spans="2:5" x14ac:dyDescent="0.2">
      <c r="B195" s="27" t="s">
        <v>357</v>
      </c>
      <c r="C195" s="226"/>
      <c r="D195" s="219">
        <v>15.92</v>
      </c>
      <c r="E195" s="56">
        <f t="shared" si="2"/>
        <v>0</v>
      </c>
    </row>
    <row r="196" spans="2:5" x14ac:dyDescent="0.2">
      <c r="B196" s="11" t="s">
        <v>148</v>
      </c>
      <c r="C196" s="226"/>
      <c r="D196" s="219">
        <v>10.75</v>
      </c>
      <c r="E196" s="56">
        <f t="shared" si="2"/>
        <v>0</v>
      </c>
    </row>
    <row r="197" spans="2:5" x14ac:dyDescent="0.2">
      <c r="B197" s="11" t="s">
        <v>29</v>
      </c>
      <c r="C197" s="226"/>
      <c r="D197" s="219">
        <v>19.82</v>
      </c>
      <c r="E197" s="56">
        <f t="shared" ref="E197:E262" si="3">C197*D197</f>
        <v>0</v>
      </c>
    </row>
    <row r="198" spans="2:5" x14ac:dyDescent="0.2">
      <c r="B198" s="11" t="s">
        <v>358</v>
      </c>
      <c r="C198" s="226"/>
      <c r="D198" s="219">
        <v>16.5</v>
      </c>
      <c r="E198" s="56">
        <f t="shared" si="3"/>
        <v>0</v>
      </c>
    </row>
    <row r="199" spans="2:5" x14ac:dyDescent="0.2">
      <c r="B199" s="11" t="s">
        <v>379</v>
      </c>
      <c r="C199" s="226">
        <v>1</v>
      </c>
      <c r="D199" s="219">
        <v>17</v>
      </c>
      <c r="E199" s="56">
        <f t="shared" si="3"/>
        <v>17</v>
      </c>
    </row>
    <row r="200" spans="2:5" x14ac:dyDescent="0.2">
      <c r="B200" s="11" t="s">
        <v>1282</v>
      </c>
      <c r="C200" s="226">
        <v>1.1000000000000001</v>
      </c>
      <c r="D200" s="219">
        <v>27</v>
      </c>
      <c r="E200" s="56">
        <f t="shared" si="3"/>
        <v>29.700000000000003</v>
      </c>
    </row>
    <row r="201" spans="2:5" x14ac:dyDescent="0.2">
      <c r="B201" s="58" t="s">
        <v>868</v>
      </c>
      <c r="C201" s="226">
        <v>0.4</v>
      </c>
      <c r="D201" s="219">
        <v>12</v>
      </c>
      <c r="E201" s="56">
        <f t="shared" si="3"/>
        <v>4.8000000000000007</v>
      </c>
    </row>
    <row r="202" spans="2:5" x14ac:dyDescent="0.2">
      <c r="B202" s="11" t="s">
        <v>711</v>
      </c>
      <c r="C202" s="226"/>
      <c r="D202" s="219">
        <v>7.41</v>
      </c>
      <c r="E202" s="56">
        <f t="shared" si="3"/>
        <v>0</v>
      </c>
    </row>
    <row r="203" spans="2:5" x14ac:dyDescent="0.2">
      <c r="B203" s="11" t="s">
        <v>712</v>
      </c>
      <c r="C203" s="226"/>
      <c r="D203" s="219">
        <v>20.7</v>
      </c>
      <c r="E203" s="56">
        <f t="shared" si="3"/>
        <v>0</v>
      </c>
    </row>
    <row r="204" spans="2:5" x14ac:dyDescent="0.2">
      <c r="B204" s="11" t="s">
        <v>380</v>
      </c>
      <c r="C204" s="226"/>
      <c r="D204" s="219">
        <v>24.75</v>
      </c>
      <c r="E204" s="56">
        <f t="shared" si="3"/>
        <v>0</v>
      </c>
    </row>
    <row r="205" spans="2:5" x14ac:dyDescent="0.2">
      <c r="B205" s="59" t="s">
        <v>929</v>
      </c>
      <c r="C205" s="226"/>
      <c r="D205" s="219">
        <v>7.66</v>
      </c>
      <c r="E205" s="56">
        <f t="shared" si="3"/>
        <v>0</v>
      </c>
    </row>
    <row r="206" spans="2:5" x14ac:dyDescent="0.2">
      <c r="B206" s="59" t="s">
        <v>381</v>
      </c>
      <c r="C206" s="226">
        <f>0.3+1</f>
        <v>1.3</v>
      </c>
      <c r="D206" s="219">
        <v>12.38</v>
      </c>
      <c r="E206" s="56">
        <f t="shared" si="3"/>
        <v>16.094000000000001</v>
      </c>
    </row>
    <row r="207" spans="2:5" x14ac:dyDescent="0.2">
      <c r="B207" s="11" t="s">
        <v>855</v>
      </c>
      <c r="C207" s="226"/>
      <c r="D207" s="219">
        <v>13</v>
      </c>
      <c r="E207" s="56">
        <f t="shared" si="3"/>
        <v>0</v>
      </c>
    </row>
    <row r="208" spans="2:5" x14ac:dyDescent="0.2">
      <c r="B208" s="11" t="s">
        <v>988</v>
      </c>
      <c r="C208" s="226">
        <v>1.8</v>
      </c>
      <c r="D208" s="219">
        <v>12.2</v>
      </c>
      <c r="E208" s="56">
        <f t="shared" si="3"/>
        <v>21.96</v>
      </c>
    </row>
    <row r="209" spans="2:5" x14ac:dyDescent="0.2">
      <c r="B209" s="27" t="s">
        <v>918</v>
      </c>
      <c r="C209" s="226">
        <f>0.3+2</f>
        <v>2.2999999999999998</v>
      </c>
      <c r="D209" s="219">
        <v>11</v>
      </c>
      <c r="E209" s="56">
        <f t="shared" si="3"/>
        <v>25.299999999999997</v>
      </c>
    </row>
    <row r="210" spans="2:5" x14ac:dyDescent="0.2">
      <c r="B210" s="27" t="s">
        <v>383</v>
      </c>
      <c r="C210" s="226"/>
      <c r="D210" s="219">
        <v>7.56</v>
      </c>
      <c r="E210" s="56">
        <f t="shared" si="3"/>
        <v>0</v>
      </c>
    </row>
    <row r="211" spans="2:5" x14ac:dyDescent="0.2">
      <c r="B211" s="27" t="s">
        <v>930</v>
      </c>
      <c r="C211" s="226">
        <v>2.2999999999999998</v>
      </c>
      <c r="D211" s="219">
        <v>7.65</v>
      </c>
      <c r="E211" s="56">
        <f t="shared" si="3"/>
        <v>17.594999999999999</v>
      </c>
    </row>
    <row r="212" spans="2:5" x14ac:dyDescent="0.2">
      <c r="B212" s="27" t="s">
        <v>931</v>
      </c>
      <c r="C212" s="226"/>
      <c r="D212" s="219">
        <v>8.26</v>
      </c>
      <c r="E212" s="56">
        <f t="shared" si="3"/>
        <v>0</v>
      </c>
    </row>
    <row r="213" spans="2:5" x14ac:dyDescent="0.2">
      <c r="B213" s="11" t="s">
        <v>384</v>
      </c>
      <c r="C213" s="226"/>
      <c r="D213" s="219">
        <v>13.14</v>
      </c>
      <c r="E213" s="56">
        <f t="shared" si="3"/>
        <v>0</v>
      </c>
    </row>
    <row r="214" spans="2:5" x14ac:dyDescent="0.2">
      <c r="B214" s="27" t="s">
        <v>385</v>
      </c>
      <c r="C214" s="226">
        <v>0.1</v>
      </c>
      <c r="D214" s="219">
        <v>24.75</v>
      </c>
      <c r="E214" s="56">
        <f t="shared" si="3"/>
        <v>2.4750000000000001</v>
      </c>
    </row>
    <row r="215" spans="2:5" x14ac:dyDescent="0.2">
      <c r="B215" s="27" t="s">
        <v>919</v>
      </c>
      <c r="C215" s="226"/>
      <c r="D215" s="219">
        <v>11</v>
      </c>
      <c r="E215" s="56">
        <f t="shared" si="3"/>
        <v>0</v>
      </c>
    </row>
    <row r="216" spans="2:5" x14ac:dyDescent="0.2">
      <c r="B216" s="27" t="s">
        <v>1296</v>
      </c>
      <c r="C216" s="226"/>
      <c r="D216" s="219">
        <v>11</v>
      </c>
      <c r="E216" s="56"/>
    </row>
    <row r="217" spans="2:5" x14ac:dyDescent="0.2">
      <c r="B217" s="59" t="s">
        <v>922</v>
      </c>
      <c r="C217" s="226"/>
      <c r="D217" s="219">
        <v>22.5</v>
      </c>
      <c r="E217" s="56">
        <f t="shared" si="3"/>
        <v>0</v>
      </c>
    </row>
    <row r="218" spans="2:5" x14ac:dyDescent="0.2">
      <c r="B218" s="11" t="s">
        <v>395</v>
      </c>
      <c r="C218" s="226"/>
      <c r="D218" s="219"/>
      <c r="E218" s="56">
        <f t="shared" si="3"/>
        <v>0</v>
      </c>
    </row>
    <row r="219" spans="2:5" x14ac:dyDescent="0.2">
      <c r="B219" s="58" t="s">
        <v>214</v>
      </c>
      <c r="C219" s="226">
        <v>1.5</v>
      </c>
      <c r="D219" s="219">
        <v>27.55</v>
      </c>
      <c r="E219" s="56">
        <f t="shared" si="3"/>
        <v>41.325000000000003</v>
      </c>
    </row>
    <row r="220" spans="2:5" x14ac:dyDescent="0.2">
      <c r="B220" s="11" t="s">
        <v>932</v>
      </c>
      <c r="C220" s="226">
        <v>1.3</v>
      </c>
      <c r="D220" s="219">
        <v>12.29</v>
      </c>
      <c r="E220" s="56">
        <f t="shared" si="3"/>
        <v>15.977</v>
      </c>
    </row>
    <row r="221" spans="2:5" x14ac:dyDescent="0.2">
      <c r="B221" s="11" t="s">
        <v>933</v>
      </c>
      <c r="C221" s="226"/>
      <c r="D221" s="219">
        <v>9.76</v>
      </c>
      <c r="E221" s="56">
        <f t="shared" si="3"/>
        <v>0</v>
      </c>
    </row>
    <row r="222" spans="2:5" x14ac:dyDescent="0.2">
      <c r="B222" s="27" t="s">
        <v>911</v>
      </c>
      <c r="C222" s="226"/>
      <c r="D222" s="219">
        <v>9.8699999999999992</v>
      </c>
      <c r="E222" s="56">
        <f t="shared" si="3"/>
        <v>0</v>
      </c>
    </row>
    <row r="223" spans="2:5" x14ac:dyDescent="0.2">
      <c r="B223" s="27" t="s">
        <v>943</v>
      </c>
      <c r="C223" s="226"/>
      <c r="D223" s="219">
        <v>11.02</v>
      </c>
      <c r="E223" s="56">
        <f t="shared" si="3"/>
        <v>0</v>
      </c>
    </row>
    <row r="224" spans="2:5" x14ac:dyDescent="0.2">
      <c r="B224" s="58" t="s">
        <v>934</v>
      </c>
      <c r="C224" s="226"/>
      <c r="D224" s="219">
        <v>15</v>
      </c>
      <c r="E224" s="56">
        <f t="shared" si="3"/>
        <v>0</v>
      </c>
    </row>
    <row r="225" spans="2:5" x14ac:dyDescent="0.2">
      <c r="B225" s="27" t="s">
        <v>944</v>
      </c>
      <c r="C225" s="226">
        <v>1.4</v>
      </c>
      <c r="D225" s="219">
        <v>10.210000000000001</v>
      </c>
      <c r="E225" s="56">
        <f t="shared" si="3"/>
        <v>14.294</v>
      </c>
    </row>
    <row r="226" spans="2:5" x14ac:dyDescent="0.2">
      <c r="B226" s="27" t="s">
        <v>945</v>
      </c>
      <c r="C226" s="226"/>
      <c r="D226" s="219">
        <v>12.47</v>
      </c>
      <c r="E226" s="56">
        <f t="shared" si="3"/>
        <v>0</v>
      </c>
    </row>
    <row r="227" spans="2:5" x14ac:dyDescent="0.2">
      <c r="B227" s="27" t="s">
        <v>913</v>
      </c>
      <c r="C227" s="226"/>
      <c r="D227" s="219">
        <v>11.02</v>
      </c>
      <c r="E227" s="56">
        <f t="shared" si="3"/>
        <v>0</v>
      </c>
    </row>
    <row r="228" spans="2:5" x14ac:dyDescent="0.2">
      <c r="B228" s="27" t="s">
        <v>912</v>
      </c>
      <c r="C228" s="226"/>
      <c r="D228" s="219">
        <v>9.8699999999999992</v>
      </c>
      <c r="E228" s="56">
        <f t="shared" si="3"/>
        <v>0</v>
      </c>
    </row>
    <row r="229" spans="2:5" x14ac:dyDescent="0.2">
      <c r="B229" s="11" t="s">
        <v>914</v>
      </c>
      <c r="C229" s="226"/>
      <c r="D229" s="219">
        <v>11.18</v>
      </c>
      <c r="E229" s="56">
        <f t="shared" si="3"/>
        <v>0</v>
      </c>
    </row>
    <row r="230" spans="2:5" x14ac:dyDescent="0.2">
      <c r="B230" s="11" t="s">
        <v>935</v>
      </c>
      <c r="C230" s="226">
        <v>0.8</v>
      </c>
      <c r="D230" s="219">
        <v>13.88</v>
      </c>
      <c r="E230" s="56">
        <f t="shared" si="3"/>
        <v>11.104000000000001</v>
      </c>
    </row>
    <row r="231" spans="2:5" x14ac:dyDescent="0.2">
      <c r="B231" s="27" t="s">
        <v>399</v>
      </c>
      <c r="C231" s="226"/>
      <c r="D231" s="219">
        <v>13.79</v>
      </c>
      <c r="E231" s="56">
        <f t="shared" si="3"/>
        <v>0</v>
      </c>
    </row>
    <row r="232" spans="2:5" x14ac:dyDescent="0.2">
      <c r="B232" s="27" t="s">
        <v>915</v>
      </c>
      <c r="C232" s="226"/>
      <c r="D232" s="219">
        <v>15.2</v>
      </c>
      <c r="E232" s="56">
        <f t="shared" si="3"/>
        <v>0</v>
      </c>
    </row>
    <row r="233" spans="2:5" x14ac:dyDescent="0.2">
      <c r="B233" s="27" t="s">
        <v>910</v>
      </c>
      <c r="C233" s="226">
        <v>1</v>
      </c>
      <c r="D233" s="219">
        <v>18.100000000000001</v>
      </c>
      <c r="E233" s="56">
        <f t="shared" si="3"/>
        <v>18.100000000000001</v>
      </c>
    </row>
    <row r="234" spans="2:5" x14ac:dyDescent="0.2">
      <c r="B234" s="11" t="s">
        <v>907</v>
      </c>
      <c r="C234" s="226">
        <v>2.2000000000000002</v>
      </c>
      <c r="D234" s="219">
        <v>6.05</v>
      </c>
      <c r="E234" s="56">
        <f t="shared" si="3"/>
        <v>13.31</v>
      </c>
    </row>
    <row r="235" spans="2:5" x14ac:dyDescent="0.2">
      <c r="B235" s="11" t="s">
        <v>920</v>
      </c>
      <c r="C235" s="226">
        <v>2</v>
      </c>
      <c r="D235" s="219">
        <v>10.64</v>
      </c>
      <c r="E235" s="56">
        <f t="shared" si="3"/>
        <v>21.28</v>
      </c>
    </row>
    <row r="236" spans="2:5" x14ac:dyDescent="0.2">
      <c r="B236" s="27" t="s">
        <v>909</v>
      </c>
      <c r="C236" s="226"/>
      <c r="D236" s="219">
        <v>6.59</v>
      </c>
      <c r="E236" s="56">
        <f t="shared" si="3"/>
        <v>0</v>
      </c>
    </row>
    <row r="237" spans="2:5" x14ac:dyDescent="0.2">
      <c r="B237" s="11" t="s">
        <v>170</v>
      </c>
      <c r="C237" s="226"/>
      <c r="D237" s="219">
        <v>19.989999999999998</v>
      </c>
      <c r="E237" s="56">
        <f t="shared" si="3"/>
        <v>0</v>
      </c>
    </row>
    <row r="238" spans="2:5" x14ac:dyDescent="0.2">
      <c r="B238" s="58" t="s">
        <v>906</v>
      </c>
      <c r="C238" s="226"/>
      <c r="D238" s="219">
        <v>20.52</v>
      </c>
      <c r="E238" s="56">
        <f t="shared" si="3"/>
        <v>0</v>
      </c>
    </row>
    <row r="239" spans="2:5" x14ac:dyDescent="0.2">
      <c r="B239" s="11" t="s">
        <v>936</v>
      </c>
      <c r="C239" s="226"/>
      <c r="D239" s="219">
        <v>14.04</v>
      </c>
      <c r="E239" s="56">
        <f t="shared" si="3"/>
        <v>0</v>
      </c>
    </row>
    <row r="240" spans="2:5" x14ac:dyDescent="0.2">
      <c r="B240" s="11" t="s">
        <v>916</v>
      </c>
      <c r="C240" s="226">
        <v>1</v>
      </c>
      <c r="D240" s="219">
        <v>12.19</v>
      </c>
      <c r="E240" s="56">
        <f t="shared" si="3"/>
        <v>12.19</v>
      </c>
    </row>
    <row r="241" spans="2:5" x14ac:dyDescent="0.2">
      <c r="B241" s="27" t="s">
        <v>946</v>
      </c>
      <c r="C241" s="226"/>
      <c r="D241" s="219">
        <v>13.65</v>
      </c>
      <c r="E241" s="56">
        <f t="shared" si="3"/>
        <v>0</v>
      </c>
    </row>
    <row r="242" spans="2:5" x14ac:dyDescent="0.2">
      <c r="B242" s="11" t="s">
        <v>937</v>
      </c>
      <c r="C242" s="226"/>
      <c r="D242" s="219">
        <v>12.94</v>
      </c>
      <c r="E242" s="56">
        <f t="shared" si="3"/>
        <v>0</v>
      </c>
    </row>
    <row r="243" spans="2:5" x14ac:dyDescent="0.2">
      <c r="B243" s="27" t="s">
        <v>917</v>
      </c>
      <c r="C243" s="226">
        <v>0.3</v>
      </c>
      <c r="D243" s="219">
        <v>10.64</v>
      </c>
      <c r="E243" s="56">
        <f t="shared" si="3"/>
        <v>3.1920000000000002</v>
      </c>
    </row>
    <row r="244" spans="2:5" x14ac:dyDescent="0.2">
      <c r="B244" s="27" t="s">
        <v>921</v>
      </c>
      <c r="C244" s="226">
        <v>0.4</v>
      </c>
      <c r="D244" s="219">
        <v>11</v>
      </c>
      <c r="E244" s="56">
        <f t="shared" si="3"/>
        <v>4.4000000000000004</v>
      </c>
    </row>
    <row r="245" spans="2:5" x14ac:dyDescent="0.2">
      <c r="B245" s="27" t="s">
        <v>938</v>
      </c>
      <c r="C245" s="226"/>
      <c r="D245" s="219">
        <v>11.03</v>
      </c>
      <c r="E245" s="56">
        <f t="shared" si="3"/>
        <v>0</v>
      </c>
    </row>
    <row r="246" spans="2:5" x14ac:dyDescent="0.2">
      <c r="B246" s="11" t="s">
        <v>939</v>
      </c>
      <c r="C246" s="226"/>
      <c r="D246" s="219">
        <v>10.91</v>
      </c>
      <c r="E246" s="56">
        <f t="shared" si="3"/>
        <v>0</v>
      </c>
    </row>
    <row r="247" spans="2:5" x14ac:dyDescent="0.2">
      <c r="B247" s="59" t="s">
        <v>402</v>
      </c>
      <c r="C247" s="226"/>
      <c r="D247" s="219">
        <v>15.38</v>
      </c>
      <c r="E247" s="56">
        <f t="shared" si="3"/>
        <v>0</v>
      </c>
    </row>
    <row r="248" spans="2:5" x14ac:dyDescent="0.2">
      <c r="B248" s="11" t="s">
        <v>191</v>
      </c>
      <c r="C248" s="226"/>
      <c r="D248" s="219">
        <v>9.91</v>
      </c>
      <c r="E248" s="56">
        <f t="shared" si="3"/>
        <v>0</v>
      </c>
    </row>
    <row r="249" spans="2:5" x14ac:dyDescent="0.2">
      <c r="B249" s="11" t="s">
        <v>403</v>
      </c>
      <c r="C249" s="226"/>
      <c r="D249" s="219">
        <v>18.850000000000001</v>
      </c>
      <c r="E249" s="56">
        <f t="shared" si="3"/>
        <v>0</v>
      </c>
    </row>
    <row r="250" spans="2:5" x14ac:dyDescent="0.2">
      <c r="B250" s="11" t="s">
        <v>940</v>
      </c>
      <c r="C250" s="226">
        <v>4.9000000000000004</v>
      </c>
      <c r="D250" s="219">
        <v>15.38</v>
      </c>
      <c r="E250" s="56">
        <f t="shared" si="3"/>
        <v>75.362000000000009</v>
      </c>
    </row>
    <row r="251" spans="2:5" x14ac:dyDescent="0.2">
      <c r="B251" s="11" t="s">
        <v>404</v>
      </c>
      <c r="C251" s="226"/>
      <c r="D251" s="219">
        <v>6.86</v>
      </c>
      <c r="E251" s="56">
        <f t="shared" si="3"/>
        <v>0</v>
      </c>
    </row>
    <row r="252" spans="2:5" x14ac:dyDescent="0.2">
      <c r="B252" s="11" t="s">
        <v>941</v>
      </c>
      <c r="C252" s="226"/>
      <c r="D252" s="219">
        <v>8.9</v>
      </c>
      <c r="E252" s="56">
        <f t="shared" si="3"/>
        <v>0</v>
      </c>
    </row>
    <row r="253" spans="2:5" x14ac:dyDescent="0.2">
      <c r="B253" s="11" t="s">
        <v>405</v>
      </c>
      <c r="C253" s="226"/>
      <c r="D253" s="219">
        <v>12.04</v>
      </c>
      <c r="E253" s="56">
        <f t="shared" si="3"/>
        <v>0</v>
      </c>
    </row>
    <row r="254" spans="2:5" x14ac:dyDescent="0.2">
      <c r="B254" s="11" t="s">
        <v>406</v>
      </c>
      <c r="C254" s="226"/>
      <c r="D254" s="219">
        <v>6.86</v>
      </c>
      <c r="E254" s="56">
        <f t="shared" si="3"/>
        <v>0</v>
      </c>
    </row>
    <row r="255" spans="2:5" x14ac:dyDescent="0.2">
      <c r="B255" s="11" t="s">
        <v>407</v>
      </c>
      <c r="C255" s="226"/>
      <c r="D255" s="219">
        <v>7.62</v>
      </c>
      <c r="E255" s="56">
        <f t="shared" si="3"/>
        <v>0</v>
      </c>
    </row>
    <row r="256" spans="2:5" x14ac:dyDescent="0.2">
      <c r="B256" s="11" t="s">
        <v>942</v>
      </c>
      <c r="C256" s="226">
        <v>0.4</v>
      </c>
      <c r="D256" s="219">
        <v>9.8699999999999992</v>
      </c>
      <c r="E256" s="56">
        <f t="shared" si="3"/>
        <v>3.948</v>
      </c>
    </row>
    <row r="257" spans="2:5" x14ac:dyDescent="0.2">
      <c r="B257" s="11" t="s">
        <v>408</v>
      </c>
      <c r="C257" s="226">
        <f>1.3+0.8</f>
        <v>2.1</v>
      </c>
      <c r="D257" s="219">
        <v>15</v>
      </c>
      <c r="E257" s="56">
        <f t="shared" si="3"/>
        <v>31.5</v>
      </c>
    </row>
    <row r="258" spans="2:5" x14ac:dyDescent="0.2">
      <c r="B258" s="11" t="s">
        <v>409</v>
      </c>
      <c r="C258" s="226"/>
      <c r="D258" s="219">
        <v>6.96</v>
      </c>
      <c r="E258" s="56">
        <f t="shared" si="3"/>
        <v>0</v>
      </c>
    </row>
    <row r="259" spans="2:5" x14ac:dyDescent="0.15">
      <c r="B259" s="26"/>
      <c r="C259" s="226"/>
      <c r="D259" s="219"/>
      <c r="E259" s="56">
        <f t="shared" si="3"/>
        <v>0</v>
      </c>
    </row>
    <row r="260" spans="2:5" x14ac:dyDescent="0.15">
      <c r="B260" s="26" t="s">
        <v>412</v>
      </c>
      <c r="C260" s="226"/>
      <c r="D260" s="219">
        <v>29.12</v>
      </c>
      <c r="E260" s="56">
        <f t="shared" si="3"/>
        <v>0</v>
      </c>
    </row>
    <row r="261" spans="2:5" x14ac:dyDescent="0.15">
      <c r="B261" s="26" t="s">
        <v>413</v>
      </c>
      <c r="C261" s="226"/>
      <c r="D261" s="219">
        <v>30.35</v>
      </c>
      <c r="E261" s="56">
        <f t="shared" si="3"/>
        <v>0</v>
      </c>
    </row>
    <row r="262" spans="2:5" x14ac:dyDescent="0.15">
      <c r="B262" s="26" t="s">
        <v>872</v>
      </c>
      <c r="C262" s="226"/>
      <c r="D262" s="219">
        <v>39</v>
      </c>
      <c r="E262" s="56">
        <f t="shared" si="3"/>
        <v>0</v>
      </c>
    </row>
    <row r="263" spans="2:5" x14ac:dyDescent="0.15">
      <c r="B263" s="26" t="s">
        <v>89</v>
      </c>
      <c r="C263" s="226"/>
      <c r="D263" s="219">
        <v>69.41</v>
      </c>
      <c r="E263" s="56">
        <f t="shared" ref="E263:E332" si="4">C263*D263</f>
        <v>0</v>
      </c>
    </row>
    <row r="264" spans="2:5" x14ac:dyDescent="0.15">
      <c r="B264" s="26" t="s">
        <v>415</v>
      </c>
      <c r="C264" s="226"/>
      <c r="D264" s="219">
        <v>68.78</v>
      </c>
      <c r="E264" s="56">
        <f t="shared" si="4"/>
        <v>0</v>
      </c>
    </row>
    <row r="265" spans="2:5" x14ac:dyDescent="0.15">
      <c r="B265" s="26" t="s">
        <v>828</v>
      </c>
      <c r="C265" s="226"/>
      <c r="D265" s="219">
        <v>37.950000000000003</v>
      </c>
      <c r="E265" s="56">
        <f t="shared" si="4"/>
        <v>0</v>
      </c>
    </row>
    <row r="266" spans="2:5" x14ac:dyDescent="0.15">
      <c r="B266" s="26" t="s">
        <v>66</v>
      </c>
      <c r="C266" s="226"/>
      <c r="D266" s="219">
        <v>47.56</v>
      </c>
      <c r="E266" s="56">
        <f t="shared" si="4"/>
        <v>0</v>
      </c>
    </row>
    <row r="267" spans="2:5" x14ac:dyDescent="0.15">
      <c r="B267" s="26" t="s">
        <v>67</v>
      </c>
      <c r="C267" s="226"/>
      <c r="D267" s="219">
        <v>19.899999999999999</v>
      </c>
      <c r="E267" s="56">
        <f t="shared" si="4"/>
        <v>0</v>
      </c>
    </row>
    <row r="268" spans="2:5" x14ac:dyDescent="0.15">
      <c r="B268" s="26" t="s">
        <v>899</v>
      </c>
      <c r="C268" s="226"/>
      <c r="D268" s="219">
        <v>37.027000000000001</v>
      </c>
      <c r="E268" s="56">
        <f t="shared" si="4"/>
        <v>0</v>
      </c>
    </row>
    <row r="269" spans="2:5" x14ac:dyDescent="0.15">
      <c r="B269" s="26" t="s">
        <v>75</v>
      </c>
      <c r="C269" s="226"/>
      <c r="D269" s="219">
        <v>27</v>
      </c>
      <c r="E269" s="56">
        <f t="shared" si="4"/>
        <v>0</v>
      </c>
    </row>
    <row r="270" spans="2:5" x14ac:dyDescent="0.15">
      <c r="B270" s="26" t="s">
        <v>947</v>
      </c>
      <c r="C270" s="226"/>
      <c r="D270" s="219">
        <v>25</v>
      </c>
      <c r="E270" s="56">
        <f t="shared" si="4"/>
        <v>0</v>
      </c>
    </row>
    <row r="271" spans="2:5" x14ac:dyDescent="0.15">
      <c r="B271" s="26" t="s">
        <v>865</v>
      </c>
      <c r="C271" s="226"/>
      <c r="D271" s="219">
        <v>34</v>
      </c>
      <c r="E271" s="56">
        <f t="shared" si="4"/>
        <v>0</v>
      </c>
    </row>
    <row r="272" spans="2:5" x14ac:dyDescent="0.15">
      <c r="B272" s="26" t="s">
        <v>829</v>
      </c>
      <c r="C272" s="226">
        <v>0.9</v>
      </c>
      <c r="D272" s="219">
        <v>34</v>
      </c>
      <c r="E272" s="56">
        <f t="shared" si="4"/>
        <v>30.6</v>
      </c>
    </row>
    <row r="273" spans="2:5" x14ac:dyDescent="0.15">
      <c r="B273" s="26" t="s">
        <v>830</v>
      </c>
      <c r="C273" s="226"/>
      <c r="D273" s="219">
        <v>34</v>
      </c>
      <c r="E273" s="56">
        <f t="shared" si="4"/>
        <v>0</v>
      </c>
    </row>
    <row r="274" spans="2:5" x14ac:dyDescent="0.2">
      <c r="B274" s="11" t="s">
        <v>411</v>
      </c>
      <c r="C274" s="226"/>
      <c r="D274" s="219">
        <v>38</v>
      </c>
      <c r="E274" s="56">
        <f t="shared" si="4"/>
        <v>0</v>
      </c>
    </row>
    <row r="275" spans="2:5" x14ac:dyDescent="0.15">
      <c r="B275" s="26" t="s">
        <v>416</v>
      </c>
      <c r="C275" s="226"/>
      <c r="D275" s="219">
        <v>21.91</v>
      </c>
      <c r="E275" s="56">
        <f t="shared" si="4"/>
        <v>0</v>
      </c>
    </row>
    <row r="276" spans="2:5" x14ac:dyDescent="0.15">
      <c r="B276" s="26" t="s">
        <v>1229</v>
      </c>
      <c r="C276" s="226"/>
      <c r="D276" s="219">
        <v>40</v>
      </c>
      <c r="E276" s="56">
        <f t="shared" si="4"/>
        <v>0</v>
      </c>
    </row>
    <row r="277" spans="2:5" x14ac:dyDescent="0.15">
      <c r="B277" s="26" t="s">
        <v>88</v>
      </c>
      <c r="C277" s="226"/>
      <c r="D277" s="219">
        <v>24.33</v>
      </c>
      <c r="E277" s="56">
        <f t="shared" si="4"/>
        <v>0</v>
      </c>
    </row>
    <row r="278" spans="2:5" x14ac:dyDescent="0.2">
      <c r="B278" s="23" t="s">
        <v>838</v>
      </c>
      <c r="C278" s="226"/>
      <c r="D278" s="219">
        <v>87.53</v>
      </c>
      <c r="E278" s="56">
        <f t="shared" si="4"/>
        <v>0</v>
      </c>
    </row>
    <row r="279" spans="2:5" x14ac:dyDescent="0.2">
      <c r="B279" s="23" t="s">
        <v>1262</v>
      </c>
      <c r="C279" s="226"/>
      <c r="D279" s="219">
        <v>40</v>
      </c>
      <c r="E279" s="56">
        <f t="shared" si="4"/>
        <v>0</v>
      </c>
    </row>
    <row r="280" spans="2:5" x14ac:dyDescent="0.15">
      <c r="B280" s="26" t="s">
        <v>820</v>
      </c>
      <c r="C280" s="226"/>
      <c r="D280" s="219">
        <v>35</v>
      </c>
      <c r="E280" s="56">
        <f t="shared" si="4"/>
        <v>0</v>
      </c>
    </row>
    <row r="281" spans="2:5" x14ac:dyDescent="0.15">
      <c r="B281" s="26" t="s">
        <v>1263</v>
      </c>
      <c r="C281" s="226">
        <v>1</v>
      </c>
      <c r="D281" s="219">
        <v>35</v>
      </c>
      <c r="E281" s="56">
        <f t="shared" si="4"/>
        <v>35</v>
      </c>
    </row>
    <row r="282" spans="2:5" x14ac:dyDescent="0.15">
      <c r="B282" s="26" t="s">
        <v>1264</v>
      </c>
      <c r="C282" s="226"/>
      <c r="D282" s="219">
        <v>45</v>
      </c>
      <c r="E282" s="56">
        <f t="shared" si="4"/>
        <v>0</v>
      </c>
    </row>
    <row r="283" spans="2:5" x14ac:dyDescent="0.15">
      <c r="B283" s="26" t="s">
        <v>1265</v>
      </c>
      <c r="C283" s="226"/>
      <c r="D283" s="219">
        <v>38</v>
      </c>
      <c r="E283" s="56">
        <f t="shared" si="4"/>
        <v>0</v>
      </c>
    </row>
    <row r="284" spans="2:5" x14ac:dyDescent="0.15">
      <c r="B284" s="26" t="s">
        <v>1289</v>
      </c>
      <c r="C284" s="226"/>
      <c r="D284" s="219">
        <v>19.5</v>
      </c>
      <c r="E284" s="56">
        <f t="shared" si="4"/>
        <v>0</v>
      </c>
    </row>
    <row r="285" spans="2:5" x14ac:dyDescent="0.15">
      <c r="B285" s="26" t="s">
        <v>1318</v>
      </c>
      <c r="C285" s="226"/>
      <c r="D285" s="219">
        <v>19</v>
      </c>
      <c r="E285" s="56">
        <f t="shared" si="4"/>
        <v>0</v>
      </c>
    </row>
    <row r="286" spans="2:5" x14ac:dyDescent="0.15">
      <c r="B286" s="26"/>
      <c r="C286" s="226"/>
      <c r="D286" s="219"/>
      <c r="E286" s="56">
        <f t="shared" si="4"/>
        <v>0</v>
      </c>
    </row>
    <row r="287" spans="2:5" x14ac:dyDescent="0.2">
      <c r="B287" s="23" t="s">
        <v>153</v>
      </c>
      <c r="C287" s="226"/>
      <c r="D287" s="219">
        <v>3.45</v>
      </c>
      <c r="E287" s="56">
        <f t="shared" si="4"/>
        <v>0</v>
      </c>
    </row>
    <row r="288" spans="2:5" x14ac:dyDescent="0.2">
      <c r="B288" s="23"/>
      <c r="C288" s="226"/>
      <c r="D288" s="219"/>
      <c r="E288" s="56">
        <f t="shared" si="4"/>
        <v>0</v>
      </c>
    </row>
    <row r="289" spans="2:5" x14ac:dyDescent="0.2">
      <c r="B289" s="11" t="s">
        <v>418</v>
      </c>
      <c r="C289" s="226"/>
      <c r="D289" s="219">
        <v>34.96</v>
      </c>
      <c r="E289" s="56">
        <f t="shared" si="4"/>
        <v>0</v>
      </c>
    </row>
    <row r="290" spans="2:5" x14ac:dyDescent="0.2">
      <c r="B290" s="11" t="s">
        <v>420</v>
      </c>
      <c r="C290" s="226">
        <v>1</v>
      </c>
      <c r="D290" s="219">
        <v>13.63</v>
      </c>
      <c r="E290" s="56">
        <f t="shared" si="4"/>
        <v>13.63</v>
      </c>
    </row>
    <row r="291" spans="2:5" x14ac:dyDescent="0.2">
      <c r="B291" s="23" t="s">
        <v>417</v>
      </c>
      <c r="C291" s="226"/>
      <c r="D291" s="219">
        <v>37.65</v>
      </c>
      <c r="E291" s="56">
        <f t="shared" si="4"/>
        <v>0</v>
      </c>
    </row>
    <row r="292" spans="2:5" x14ac:dyDescent="0.2">
      <c r="B292" s="11" t="s">
        <v>419</v>
      </c>
      <c r="C292" s="226"/>
      <c r="D292" s="219">
        <v>15.85</v>
      </c>
      <c r="E292" s="56">
        <f t="shared" si="4"/>
        <v>0</v>
      </c>
    </row>
    <row r="293" spans="2:5" x14ac:dyDescent="0.2">
      <c r="B293" s="11" t="s">
        <v>1266</v>
      </c>
      <c r="C293" s="226"/>
      <c r="D293" s="219">
        <v>14</v>
      </c>
      <c r="E293" s="56">
        <f t="shared" si="4"/>
        <v>0</v>
      </c>
    </row>
    <row r="294" spans="2:5" x14ac:dyDescent="0.2">
      <c r="B294" s="11" t="s">
        <v>858</v>
      </c>
      <c r="C294" s="226"/>
      <c r="D294" s="219">
        <v>78.180000000000007</v>
      </c>
      <c r="E294" s="56">
        <f t="shared" si="4"/>
        <v>0</v>
      </c>
    </row>
    <row r="295" spans="2:5" x14ac:dyDescent="0.2">
      <c r="B295" s="11"/>
      <c r="C295" s="226"/>
      <c r="D295" s="219">
        <v>13.68</v>
      </c>
      <c r="E295" s="56">
        <f t="shared" si="4"/>
        <v>0</v>
      </c>
    </row>
    <row r="296" spans="2:5" x14ac:dyDescent="0.2">
      <c r="B296" s="11"/>
      <c r="C296" s="226"/>
      <c r="D296" s="219"/>
      <c r="E296" s="56">
        <f t="shared" si="4"/>
        <v>0</v>
      </c>
    </row>
    <row r="297" spans="2:5" x14ac:dyDescent="0.2">
      <c r="B297" s="11" t="s">
        <v>421</v>
      </c>
      <c r="C297" s="226"/>
      <c r="D297" s="219">
        <v>15.5</v>
      </c>
      <c r="E297" s="56">
        <f t="shared" si="4"/>
        <v>0</v>
      </c>
    </row>
    <row r="298" spans="2:5" x14ac:dyDescent="0.2">
      <c r="B298" s="11" t="s">
        <v>423</v>
      </c>
      <c r="C298" s="226"/>
      <c r="D298" s="219">
        <v>11</v>
      </c>
      <c r="E298" s="56">
        <f t="shared" si="4"/>
        <v>0</v>
      </c>
    </row>
    <row r="299" spans="2:5" x14ac:dyDescent="0.2">
      <c r="B299" s="11" t="s">
        <v>424</v>
      </c>
      <c r="C299" s="226"/>
      <c r="D299" s="219">
        <v>10</v>
      </c>
      <c r="E299" s="56">
        <f t="shared" si="4"/>
        <v>0</v>
      </c>
    </row>
    <row r="300" spans="2:5" x14ac:dyDescent="0.2">
      <c r="B300" s="11" t="s">
        <v>905</v>
      </c>
      <c r="C300" s="226"/>
      <c r="D300" s="219">
        <v>11.95</v>
      </c>
      <c r="E300" s="56">
        <f t="shared" si="4"/>
        <v>0</v>
      </c>
    </row>
    <row r="301" spans="2:5" x14ac:dyDescent="0.2">
      <c r="B301" s="11" t="s">
        <v>425</v>
      </c>
      <c r="C301" s="226"/>
      <c r="D301" s="219">
        <v>10.1</v>
      </c>
      <c r="E301" s="56">
        <f t="shared" si="4"/>
        <v>0</v>
      </c>
    </row>
    <row r="302" spans="2:5" x14ac:dyDescent="0.2">
      <c r="B302" s="11"/>
      <c r="C302" s="226"/>
      <c r="D302" s="219"/>
      <c r="E302" s="56">
        <f t="shared" si="4"/>
        <v>0</v>
      </c>
    </row>
    <row r="303" spans="2:5" x14ac:dyDescent="0.2">
      <c r="B303" s="11" t="s">
        <v>967</v>
      </c>
      <c r="C303" s="226"/>
      <c r="D303" s="219">
        <v>1.23</v>
      </c>
      <c r="E303" s="56">
        <f t="shared" si="4"/>
        <v>0</v>
      </c>
    </row>
    <row r="304" spans="2:5" x14ac:dyDescent="0.2">
      <c r="B304" s="11" t="s">
        <v>426</v>
      </c>
      <c r="C304" s="226"/>
      <c r="D304" s="219">
        <v>0.8</v>
      </c>
      <c r="E304" s="56">
        <f t="shared" si="4"/>
        <v>0</v>
      </c>
    </row>
    <row r="305" spans="2:5" x14ac:dyDescent="0.2">
      <c r="B305" s="11" t="s">
        <v>427</v>
      </c>
      <c r="C305" s="226"/>
      <c r="D305" s="219">
        <v>0.8</v>
      </c>
      <c r="E305" s="56">
        <f t="shared" si="4"/>
        <v>0</v>
      </c>
    </row>
    <row r="306" spans="2:5" x14ac:dyDescent="0.2">
      <c r="B306" s="11" t="s">
        <v>985</v>
      </c>
      <c r="C306" s="226"/>
      <c r="D306" s="219">
        <v>1.03</v>
      </c>
      <c r="E306" s="56">
        <f t="shared" si="4"/>
        <v>0</v>
      </c>
    </row>
    <row r="307" spans="2:5" x14ac:dyDescent="0.2">
      <c r="B307" s="11" t="s">
        <v>166</v>
      </c>
      <c r="C307" s="226"/>
      <c r="D307" s="219">
        <v>0.89</v>
      </c>
      <c r="E307" s="56">
        <f t="shared" si="4"/>
        <v>0</v>
      </c>
    </row>
    <row r="308" spans="2:5" x14ac:dyDescent="0.2">
      <c r="B308" s="11" t="s">
        <v>167</v>
      </c>
      <c r="C308" s="226"/>
      <c r="D308" s="219">
        <v>0.89</v>
      </c>
      <c r="E308" s="56">
        <f t="shared" si="4"/>
        <v>0</v>
      </c>
    </row>
    <row r="309" spans="2:5" x14ac:dyDescent="0.2">
      <c r="B309" s="11" t="s">
        <v>428</v>
      </c>
      <c r="C309" s="226"/>
      <c r="D309" s="219">
        <v>1.02</v>
      </c>
      <c r="E309" s="56">
        <f t="shared" si="4"/>
        <v>0</v>
      </c>
    </row>
    <row r="310" spans="2:5" x14ac:dyDescent="0.2">
      <c r="B310" s="11" t="s">
        <v>1135</v>
      </c>
      <c r="C310" s="226"/>
      <c r="D310" s="219">
        <v>0.8</v>
      </c>
      <c r="E310" s="56">
        <f t="shared" si="4"/>
        <v>0</v>
      </c>
    </row>
    <row r="311" spans="2:5" x14ac:dyDescent="0.2">
      <c r="B311" s="11" t="s">
        <v>178</v>
      </c>
      <c r="C311" s="226"/>
      <c r="D311" s="219">
        <v>19.2</v>
      </c>
      <c r="E311" s="56">
        <f t="shared" si="4"/>
        <v>0</v>
      </c>
    </row>
    <row r="312" spans="2:5" x14ac:dyDescent="0.2">
      <c r="B312" s="11" t="s">
        <v>179</v>
      </c>
      <c r="C312" s="226"/>
      <c r="D312" s="219">
        <v>19.2</v>
      </c>
      <c r="E312" s="56">
        <f t="shared" si="4"/>
        <v>0</v>
      </c>
    </row>
    <row r="313" spans="2:5" x14ac:dyDescent="0.2">
      <c r="B313" s="11" t="s">
        <v>180</v>
      </c>
      <c r="C313" s="226"/>
      <c r="D313" s="219">
        <v>19.2</v>
      </c>
      <c r="E313" s="56">
        <f t="shared" si="4"/>
        <v>0</v>
      </c>
    </row>
    <row r="314" spans="2:5" x14ac:dyDescent="0.2">
      <c r="B314" s="11" t="s">
        <v>181</v>
      </c>
      <c r="C314" s="226"/>
      <c r="D314" s="219">
        <v>1.1599999999999999</v>
      </c>
      <c r="E314" s="56">
        <f t="shared" si="4"/>
        <v>0</v>
      </c>
    </row>
    <row r="315" spans="2:5" x14ac:dyDescent="0.2">
      <c r="B315" s="11" t="s">
        <v>182</v>
      </c>
      <c r="C315" s="226"/>
      <c r="D315" s="219">
        <v>19.2</v>
      </c>
      <c r="E315" s="56">
        <f t="shared" si="4"/>
        <v>0</v>
      </c>
    </row>
    <row r="316" spans="2:5" x14ac:dyDescent="0.2">
      <c r="B316" s="11" t="s">
        <v>429</v>
      </c>
      <c r="C316" s="226"/>
      <c r="D316" s="219">
        <v>1.1599999999999999</v>
      </c>
      <c r="E316" s="56">
        <f t="shared" si="4"/>
        <v>0</v>
      </c>
    </row>
    <row r="317" spans="2:5" x14ac:dyDescent="0.2">
      <c r="B317" s="11" t="s">
        <v>187</v>
      </c>
      <c r="C317" s="226"/>
      <c r="D317" s="219">
        <v>1.01</v>
      </c>
      <c r="E317" s="56">
        <f t="shared" si="4"/>
        <v>0</v>
      </c>
    </row>
    <row r="318" spans="2:5" x14ac:dyDescent="0.2">
      <c r="B318" s="11" t="s">
        <v>183</v>
      </c>
      <c r="C318" s="226"/>
      <c r="D318" s="219">
        <v>36</v>
      </c>
      <c r="E318" s="56">
        <f t="shared" si="4"/>
        <v>0</v>
      </c>
    </row>
    <row r="319" spans="2:5" x14ac:dyDescent="0.2">
      <c r="B319" s="11" t="s">
        <v>186</v>
      </c>
      <c r="C319" s="226"/>
      <c r="D319" s="219">
        <v>1.3</v>
      </c>
      <c r="E319" s="56">
        <f t="shared" si="4"/>
        <v>0</v>
      </c>
    </row>
    <row r="320" spans="2:5" x14ac:dyDescent="0.2">
      <c r="B320" s="11" t="s">
        <v>185</v>
      </c>
      <c r="C320" s="226"/>
      <c r="D320" s="219">
        <v>36</v>
      </c>
      <c r="E320" s="56">
        <f t="shared" si="4"/>
        <v>0</v>
      </c>
    </row>
    <row r="321" spans="2:5" x14ac:dyDescent="0.2">
      <c r="B321" s="11" t="s">
        <v>184</v>
      </c>
      <c r="C321" s="226"/>
      <c r="D321" s="219">
        <v>1.02</v>
      </c>
      <c r="E321" s="56">
        <f t="shared" si="4"/>
        <v>0</v>
      </c>
    </row>
    <row r="322" spans="2:5" x14ac:dyDescent="0.2">
      <c r="B322" s="11" t="s">
        <v>188</v>
      </c>
      <c r="C322" s="226"/>
      <c r="D322" s="219">
        <v>1.1299999999999999</v>
      </c>
      <c r="E322" s="56">
        <f t="shared" si="4"/>
        <v>0</v>
      </c>
    </row>
    <row r="323" spans="2:5" x14ac:dyDescent="0.2">
      <c r="B323" s="11" t="s">
        <v>430</v>
      </c>
      <c r="C323" s="226"/>
      <c r="D323" s="219">
        <v>0.8</v>
      </c>
      <c r="E323" s="56">
        <f t="shared" si="4"/>
        <v>0</v>
      </c>
    </row>
    <row r="324" spans="2:5" x14ac:dyDescent="0.2">
      <c r="B324" s="11" t="s">
        <v>432</v>
      </c>
      <c r="C324" s="226"/>
      <c r="D324" s="219">
        <v>1.1200000000000001</v>
      </c>
      <c r="E324" s="56">
        <f t="shared" si="4"/>
        <v>0</v>
      </c>
    </row>
    <row r="325" spans="2:5" x14ac:dyDescent="0.2">
      <c r="B325" s="11" t="s">
        <v>434</v>
      </c>
      <c r="C325" s="228"/>
      <c r="D325" s="219">
        <v>1.48</v>
      </c>
      <c r="E325" s="56">
        <f t="shared" si="4"/>
        <v>0</v>
      </c>
    </row>
    <row r="326" spans="2:5" x14ac:dyDescent="0.2">
      <c r="B326" s="11" t="s">
        <v>435</v>
      </c>
      <c r="C326" s="226"/>
      <c r="D326" s="219">
        <v>0.99</v>
      </c>
      <c r="E326" s="56">
        <f t="shared" si="4"/>
        <v>0</v>
      </c>
    </row>
    <row r="327" spans="2:5" x14ac:dyDescent="0.2">
      <c r="B327" s="11" t="s">
        <v>824</v>
      </c>
      <c r="C327" s="226"/>
      <c r="D327" s="219">
        <v>0.8</v>
      </c>
      <c r="E327" s="56">
        <f t="shared" si="4"/>
        <v>0</v>
      </c>
    </row>
    <row r="328" spans="2:5" x14ac:dyDescent="0.2">
      <c r="B328" s="11" t="s">
        <v>1236</v>
      </c>
      <c r="C328" s="226"/>
      <c r="D328" s="219">
        <v>0.8</v>
      </c>
      <c r="E328" s="56">
        <f t="shared" si="4"/>
        <v>0</v>
      </c>
    </row>
    <row r="329" spans="2:5" x14ac:dyDescent="0.2">
      <c r="B329" s="11" t="s">
        <v>436</v>
      </c>
      <c r="C329" s="226"/>
      <c r="D329" s="219">
        <v>0.99</v>
      </c>
      <c r="E329" s="56">
        <f t="shared" si="4"/>
        <v>0</v>
      </c>
    </row>
    <row r="330" spans="2:5" x14ac:dyDescent="0.2">
      <c r="B330" s="11" t="s">
        <v>1268</v>
      </c>
      <c r="C330" s="226"/>
      <c r="D330" s="219">
        <v>0.8</v>
      </c>
      <c r="E330" s="56">
        <f t="shared" si="4"/>
        <v>0</v>
      </c>
    </row>
    <row r="331" spans="2:5" x14ac:dyDescent="0.2">
      <c r="B331" s="11"/>
      <c r="C331" s="226"/>
      <c r="D331" s="219"/>
      <c r="E331" s="56">
        <f t="shared" si="4"/>
        <v>0</v>
      </c>
    </row>
    <row r="332" spans="2:5" x14ac:dyDescent="0.2">
      <c r="B332" s="11" t="s">
        <v>1020</v>
      </c>
      <c r="C332" s="226">
        <v>1</v>
      </c>
      <c r="D332" s="219">
        <v>25</v>
      </c>
      <c r="E332" s="56">
        <f t="shared" si="4"/>
        <v>25</v>
      </c>
    </row>
    <row r="333" spans="2:5" x14ac:dyDescent="0.2">
      <c r="B333" s="11" t="s">
        <v>1299</v>
      </c>
      <c r="C333" s="226"/>
      <c r="D333" s="219">
        <v>35</v>
      </c>
      <c r="E333" s="56">
        <f t="shared" ref="E333:E396" si="5">C333*D333</f>
        <v>0</v>
      </c>
    </row>
    <row r="334" spans="2:5" x14ac:dyDescent="0.2">
      <c r="B334" s="11" t="s">
        <v>1298</v>
      </c>
      <c r="C334" s="226">
        <v>2.9</v>
      </c>
      <c r="D334" s="219">
        <v>15</v>
      </c>
      <c r="E334" s="56">
        <f t="shared" si="5"/>
        <v>43.5</v>
      </c>
    </row>
    <row r="335" spans="2:5" x14ac:dyDescent="0.2">
      <c r="B335" s="11" t="s">
        <v>1024</v>
      </c>
      <c r="C335" s="226"/>
      <c r="D335" s="219">
        <v>9</v>
      </c>
      <c r="E335" s="56">
        <f t="shared" si="5"/>
        <v>0</v>
      </c>
    </row>
    <row r="336" spans="2:5" x14ac:dyDescent="0.2">
      <c r="B336" s="11" t="s">
        <v>1307</v>
      </c>
      <c r="C336" s="226"/>
      <c r="D336" s="219">
        <v>12</v>
      </c>
      <c r="E336" s="56">
        <f t="shared" si="5"/>
        <v>0</v>
      </c>
    </row>
    <row r="337" spans="2:5" x14ac:dyDescent="0.2">
      <c r="B337" s="59" t="s">
        <v>213</v>
      </c>
      <c r="C337" s="226">
        <f>0.5+1</f>
        <v>1.5</v>
      </c>
      <c r="D337" s="219">
        <v>14.86</v>
      </c>
      <c r="E337" s="56">
        <f t="shared" si="5"/>
        <v>22.29</v>
      </c>
    </row>
    <row r="338" spans="2:5" x14ac:dyDescent="0.2">
      <c r="B338" s="59" t="s">
        <v>859</v>
      </c>
      <c r="C338" s="226">
        <v>0.7</v>
      </c>
      <c r="D338" s="219">
        <v>18.940000000000001</v>
      </c>
      <c r="E338" s="56">
        <f t="shared" si="5"/>
        <v>13.258000000000001</v>
      </c>
    </row>
    <row r="339" spans="2:5" x14ac:dyDescent="0.2">
      <c r="B339" s="59" t="s">
        <v>888</v>
      </c>
      <c r="C339" s="226">
        <v>1</v>
      </c>
      <c r="D339" s="219">
        <v>23.46</v>
      </c>
      <c r="E339" s="56">
        <f t="shared" si="5"/>
        <v>23.46</v>
      </c>
    </row>
    <row r="340" spans="2:5" x14ac:dyDescent="0.2">
      <c r="B340" s="59" t="s">
        <v>889</v>
      </c>
      <c r="C340" s="226"/>
      <c r="D340" s="219">
        <v>8.7899999999999991</v>
      </c>
      <c r="E340" s="56">
        <f t="shared" si="5"/>
        <v>0</v>
      </c>
    </row>
    <row r="341" spans="2:5" x14ac:dyDescent="0.2">
      <c r="B341" s="59" t="s">
        <v>1253</v>
      </c>
      <c r="C341" s="226">
        <v>1</v>
      </c>
      <c r="D341" s="219">
        <v>20.75</v>
      </c>
      <c r="E341" s="56">
        <f t="shared" si="5"/>
        <v>20.75</v>
      </c>
    </row>
    <row r="342" spans="2:5" x14ac:dyDescent="0.2">
      <c r="B342" s="27" t="s">
        <v>138</v>
      </c>
      <c r="C342" s="226">
        <v>0.5</v>
      </c>
      <c r="D342" s="219">
        <v>12.34</v>
      </c>
      <c r="E342" s="56">
        <f t="shared" si="5"/>
        <v>6.17</v>
      </c>
    </row>
    <row r="343" spans="2:5" x14ac:dyDescent="0.2">
      <c r="B343" s="27" t="s">
        <v>837</v>
      </c>
      <c r="C343" s="226"/>
      <c r="D343" s="219">
        <v>20</v>
      </c>
      <c r="E343" s="56">
        <f t="shared" si="5"/>
        <v>0</v>
      </c>
    </row>
    <row r="344" spans="2:5" x14ac:dyDescent="0.2">
      <c r="B344" s="27" t="s">
        <v>438</v>
      </c>
      <c r="C344" s="226"/>
      <c r="D344" s="219">
        <v>10.4</v>
      </c>
      <c r="E344" s="56">
        <f t="shared" si="5"/>
        <v>0</v>
      </c>
    </row>
    <row r="345" spans="2:5" x14ac:dyDescent="0.2">
      <c r="B345" s="27" t="s">
        <v>439</v>
      </c>
      <c r="C345" s="226"/>
      <c r="D345" s="219">
        <v>12.67</v>
      </c>
      <c r="E345" s="56">
        <f t="shared" si="5"/>
        <v>0</v>
      </c>
    </row>
    <row r="346" spans="2:5" x14ac:dyDescent="0.2">
      <c r="B346" s="27" t="s">
        <v>854</v>
      </c>
      <c r="C346" s="226"/>
      <c r="D346" s="219">
        <v>17</v>
      </c>
      <c r="E346" s="56">
        <f t="shared" si="5"/>
        <v>0</v>
      </c>
    </row>
    <row r="347" spans="2:5" x14ac:dyDescent="0.2">
      <c r="B347" s="27" t="s">
        <v>853</v>
      </c>
      <c r="C347" s="226"/>
      <c r="D347" s="219">
        <v>12.68</v>
      </c>
      <c r="E347" s="56">
        <f t="shared" si="5"/>
        <v>0</v>
      </c>
    </row>
    <row r="348" spans="2:5" x14ac:dyDescent="0.2">
      <c r="B348" s="59" t="s">
        <v>440</v>
      </c>
      <c r="C348" s="226"/>
      <c r="D348" s="219">
        <v>29.29</v>
      </c>
      <c r="E348" s="56">
        <f t="shared" si="5"/>
        <v>0</v>
      </c>
    </row>
    <row r="349" spans="2:5" x14ac:dyDescent="0.2">
      <c r="B349" s="59" t="s">
        <v>441</v>
      </c>
      <c r="C349" s="226">
        <v>2</v>
      </c>
      <c r="D349" s="219">
        <v>33.880000000000003</v>
      </c>
      <c r="E349" s="56">
        <f t="shared" si="5"/>
        <v>67.760000000000005</v>
      </c>
    </row>
    <row r="350" spans="2:5" x14ac:dyDescent="0.2">
      <c r="B350" s="59" t="s">
        <v>142</v>
      </c>
      <c r="C350" s="226"/>
      <c r="D350" s="219">
        <v>10.15</v>
      </c>
      <c r="E350" s="56">
        <f t="shared" si="5"/>
        <v>0</v>
      </c>
    </row>
    <row r="351" spans="2:5" x14ac:dyDescent="0.2">
      <c r="B351" s="59" t="s">
        <v>442</v>
      </c>
      <c r="C351" s="226"/>
      <c r="D351" s="219">
        <v>11.42</v>
      </c>
      <c r="E351" s="56">
        <f t="shared" si="5"/>
        <v>0</v>
      </c>
    </row>
    <row r="352" spans="2:5" x14ac:dyDescent="0.2">
      <c r="B352" s="59" t="s">
        <v>826</v>
      </c>
      <c r="C352" s="226"/>
      <c r="D352" s="219">
        <v>14.41</v>
      </c>
      <c r="E352" s="56">
        <f t="shared" si="5"/>
        <v>0</v>
      </c>
    </row>
    <row r="353" spans="2:5" x14ac:dyDescent="0.2">
      <c r="B353" s="59" t="s">
        <v>445</v>
      </c>
      <c r="C353" s="226">
        <v>0.6</v>
      </c>
      <c r="D353" s="219">
        <v>19.66</v>
      </c>
      <c r="E353" s="56">
        <f t="shared" si="5"/>
        <v>11.795999999999999</v>
      </c>
    </row>
    <row r="354" spans="2:5" x14ac:dyDescent="0.2">
      <c r="B354" s="59" t="s">
        <v>446</v>
      </c>
      <c r="C354" s="226"/>
      <c r="D354" s="219">
        <v>28.94</v>
      </c>
      <c r="E354" s="56">
        <f t="shared" si="5"/>
        <v>0</v>
      </c>
    </row>
    <row r="355" spans="2:5" x14ac:dyDescent="0.2">
      <c r="B355" s="59" t="s">
        <v>860</v>
      </c>
      <c r="C355" s="226">
        <v>1</v>
      </c>
      <c r="D355" s="219">
        <v>20</v>
      </c>
      <c r="E355" s="56">
        <f t="shared" si="5"/>
        <v>20</v>
      </c>
    </row>
    <row r="356" spans="2:5" x14ac:dyDescent="0.2">
      <c r="B356" s="59" t="s">
        <v>869</v>
      </c>
      <c r="C356" s="226">
        <v>0.7</v>
      </c>
      <c r="D356" s="219">
        <v>20</v>
      </c>
      <c r="E356" s="56">
        <f t="shared" si="5"/>
        <v>14</v>
      </c>
    </row>
    <row r="357" spans="2:5" x14ac:dyDescent="0.2">
      <c r="B357" s="59" t="s">
        <v>447</v>
      </c>
      <c r="C357" s="226">
        <v>1</v>
      </c>
      <c r="D357" s="219">
        <v>20.55</v>
      </c>
      <c r="E357" s="56">
        <f t="shared" si="5"/>
        <v>20.55</v>
      </c>
    </row>
    <row r="358" spans="2:5" x14ac:dyDescent="0.2">
      <c r="B358" s="59" t="s">
        <v>856</v>
      </c>
      <c r="C358" s="226">
        <v>0.5</v>
      </c>
      <c r="D358" s="219">
        <v>42.26</v>
      </c>
      <c r="E358" s="56">
        <f t="shared" si="5"/>
        <v>21.13</v>
      </c>
    </row>
    <row r="359" spans="2:5" x14ac:dyDescent="0.2">
      <c r="B359" s="59" t="s">
        <v>448</v>
      </c>
      <c r="C359" s="226"/>
      <c r="D359" s="219">
        <v>9.99</v>
      </c>
      <c r="E359" s="56">
        <f t="shared" si="5"/>
        <v>0</v>
      </c>
    </row>
    <row r="360" spans="2:5" x14ac:dyDescent="0.2">
      <c r="B360" s="59" t="s">
        <v>449</v>
      </c>
      <c r="C360" s="226"/>
      <c r="D360" s="219">
        <v>10.130000000000001</v>
      </c>
      <c r="E360" s="56">
        <f t="shared" si="5"/>
        <v>0</v>
      </c>
    </row>
    <row r="361" spans="2:5" x14ac:dyDescent="0.2">
      <c r="B361" s="11" t="s">
        <v>450</v>
      </c>
      <c r="C361" s="226"/>
      <c r="D361" s="219">
        <v>9.64</v>
      </c>
      <c r="E361" s="56">
        <f t="shared" si="5"/>
        <v>0</v>
      </c>
    </row>
    <row r="362" spans="2:5" x14ac:dyDescent="0.2">
      <c r="B362" s="11" t="s">
        <v>451</v>
      </c>
      <c r="C362" s="226"/>
      <c r="D362" s="219">
        <v>17.29</v>
      </c>
      <c r="E362" s="56">
        <f t="shared" si="5"/>
        <v>0</v>
      </c>
    </row>
    <row r="363" spans="2:5" x14ac:dyDescent="0.2">
      <c r="B363" s="59" t="s">
        <v>452</v>
      </c>
      <c r="C363" s="226">
        <v>0.8</v>
      </c>
      <c r="D363" s="219">
        <v>18.95</v>
      </c>
      <c r="E363" s="56">
        <f t="shared" si="5"/>
        <v>15.16</v>
      </c>
    </row>
    <row r="364" spans="2:5" x14ac:dyDescent="0.2">
      <c r="B364" s="11" t="s">
        <v>453</v>
      </c>
      <c r="C364" s="226">
        <v>0.5</v>
      </c>
      <c r="D364" s="219">
        <v>32.14</v>
      </c>
      <c r="E364" s="56">
        <f t="shared" si="5"/>
        <v>16.07</v>
      </c>
    </row>
    <row r="365" spans="2:5" x14ac:dyDescent="0.2">
      <c r="B365" s="59" t="s">
        <v>456</v>
      </c>
      <c r="C365" s="226">
        <v>1</v>
      </c>
      <c r="D365" s="219">
        <v>21.71</v>
      </c>
      <c r="E365" s="56">
        <f t="shared" si="5"/>
        <v>21.71</v>
      </c>
    </row>
    <row r="366" spans="2:5" x14ac:dyDescent="0.2">
      <c r="B366" s="11" t="s">
        <v>457</v>
      </c>
      <c r="C366" s="226"/>
      <c r="D366" s="219">
        <v>21.71</v>
      </c>
      <c r="E366" s="56">
        <f t="shared" si="5"/>
        <v>0</v>
      </c>
    </row>
    <row r="367" spans="2:5" x14ac:dyDescent="0.2">
      <c r="B367" s="11" t="s">
        <v>1301</v>
      </c>
      <c r="C367" s="226"/>
      <c r="D367" s="219">
        <v>20</v>
      </c>
      <c r="E367" s="56">
        <f t="shared" si="5"/>
        <v>0</v>
      </c>
    </row>
    <row r="368" spans="2:5" x14ac:dyDescent="0.2">
      <c r="B368" s="11" t="s">
        <v>1300</v>
      </c>
      <c r="C368" s="226"/>
      <c r="D368" s="219">
        <v>17</v>
      </c>
      <c r="E368" s="56">
        <f t="shared" si="5"/>
        <v>0</v>
      </c>
    </row>
    <row r="369" spans="2:5" x14ac:dyDescent="0.2">
      <c r="B369" s="27" t="s">
        <v>172</v>
      </c>
      <c r="C369" s="226"/>
      <c r="D369" s="219">
        <v>24.44</v>
      </c>
      <c r="E369" s="56">
        <f t="shared" si="5"/>
        <v>0</v>
      </c>
    </row>
    <row r="370" spans="2:5" x14ac:dyDescent="0.2">
      <c r="B370" s="58" t="s">
        <v>825</v>
      </c>
      <c r="C370" s="226"/>
      <c r="D370" s="219">
        <v>15</v>
      </c>
      <c r="E370" s="56">
        <f t="shared" si="5"/>
        <v>0</v>
      </c>
    </row>
    <row r="371" spans="2:5" x14ac:dyDescent="0.2">
      <c r="B371" s="58" t="s">
        <v>458</v>
      </c>
      <c r="C371" s="226">
        <v>0.9</v>
      </c>
      <c r="D371" s="219">
        <v>17.690000000000001</v>
      </c>
      <c r="E371" s="56">
        <f t="shared" si="5"/>
        <v>15.921000000000001</v>
      </c>
    </row>
    <row r="372" spans="2:5" x14ac:dyDescent="0.2">
      <c r="B372" s="59" t="s">
        <v>460</v>
      </c>
      <c r="C372" s="226">
        <v>2.1</v>
      </c>
      <c r="D372" s="219">
        <v>37</v>
      </c>
      <c r="E372" s="56">
        <f t="shared" si="5"/>
        <v>77.7</v>
      </c>
    </row>
    <row r="373" spans="2:5" x14ac:dyDescent="0.2">
      <c r="B373" s="59" t="s">
        <v>1250</v>
      </c>
      <c r="C373" s="226">
        <v>2</v>
      </c>
      <c r="D373" s="219">
        <v>11.5</v>
      </c>
      <c r="E373" s="56">
        <f t="shared" si="5"/>
        <v>23</v>
      </c>
    </row>
    <row r="374" spans="2:5" x14ac:dyDescent="0.2">
      <c r="B374" s="59" t="s">
        <v>461</v>
      </c>
      <c r="C374" s="226"/>
      <c r="D374" s="219">
        <v>13.6</v>
      </c>
      <c r="E374" s="56">
        <f t="shared" si="5"/>
        <v>0</v>
      </c>
    </row>
    <row r="375" spans="2:5" x14ac:dyDescent="0.2">
      <c r="B375" s="59" t="s">
        <v>462</v>
      </c>
      <c r="C375" s="226">
        <f>3+0.7</f>
        <v>3.7</v>
      </c>
      <c r="D375" s="219">
        <v>22</v>
      </c>
      <c r="E375" s="56">
        <f t="shared" si="5"/>
        <v>81.400000000000006</v>
      </c>
    </row>
    <row r="376" spans="2:5" x14ac:dyDescent="0.2">
      <c r="B376" s="59" t="s">
        <v>463</v>
      </c>
      <c r="C376" s="226"/>
      <c r="D376" s="219">
        <v>18.36</v>
      </c>
      <c r="E376" s="56">
        <f t="shared" si="5"/>
        <v>0</v>
      </c>
    </row>
    <row r="377" spans="2:5" x14ac:dyDescent="0.2">
      <c r="B377" s="59" t="s">
        <v>86</v>
      </c>
      <c r="C377" s="226">
        <f>0.9+1</f>
        <v>1.9</v>
      </c>
      <c r="D377" s="219">
        <v>41.18</v>
      </c>
      <c r="E377" s="56">
        <f t="shared" si="5"/>
        <v>78.24199999999999</v>
      </c>
    </row>
    <row r="378" spans="2:5" x14ac:dyDescent="0.2">
      <c r="B378" s="27" t="s">
        <v>464</v>
      </c>
      <c r="C378" s="226"/>
      <c r="D378" s="219">
        <v>38.51</v>
      </c>
      <c r="E378" s="56">
        <f t="shared" si="5"/>
        <v>0</v>
      </c>
    </row>
    <row r="379" spans="2:5" x14ac:dyDescent="0.2">
      <c r="B379" s="59" t="s">
        <v>197</v>
      </c>
      <c r="C379" s="226"/>
      <c r="D379" s="219">
        <v>91.49</v>
      </c>
      <c r="E379" s="56">
        <f t="shared" si="5"/>
        <v>0</v>
      </c>
    </row>
    <row r="380" spans="2:5" x14ac:dyDescent="0.2">
      <c r="B380" s="59" t="s">
        <v>834</v>
      </c>
      <c r="C380" s="226"/>
      <c r="D380" s="219">
        <v>15</v>
      </c>
      <c r="E380" s="56">
        <f t="shared" si="5"/>
        <v>0</v>
      </c>
    </row>
    <row r="381" spans="2:5" x14ac:dyDescent="0.2">
      <c r="B381" s="59" t="s">
        <v>1290</v>
      </c>
      <c r="C381" s="226">
        <v>3.3</v>
      </c>
      <c r="D381" s="219">
        <v>15</v>
      </c>
      <c r="E381" s="56">
        <f t="shared" si="5"/>
        <v>49.5</v>
      </c>
    </row>
    <row r="382" spans="2:5" x14ac:dyDescent="0.2">
      <c r="B382" s="59" t="s">
        <v>1291</v>
      </c>
      <c r="C382" s="226"/>
      <c r="D382" s="219"/>
      <c r="E382" s="56">
        <f t="shared" si="5"/>
        <v>0</v>
      </c>
    </row>
    <row r="383" spans="2:5" x14ac:dyDescent="0.2">
      <c r="B383" s="59" t="s">
        <v>987</v>
      </c>
      <c r="C383" s="226"/>
      <c r="D383" s="219"/>
      <c r="E383" s="56">
        <f t="shared" si="5"/>
        <v>0</v>
      </c>
    </row>
    <row r="384" spans="2:5" x14ac:dyDescent="0.2">
      <c r="B384" s="59"/>
      <c r="C384" s="226"/>
      <c r="D384" s="219"/>
      <c r="E384" s="56">
        <f t="shared" si="5"/>
        <v>0</v>
      </c>
    </row>
    <row r="385" spans="2:5" x14ac:dyDescent="0.2">
      <c r="B385" s="59"/>
      <c r="C385" s="226"/>
      <c r="D385" s="219"/>
      <c r="E385" s="56">
        <f t="shared" si="5"/>
        <v>0</v>
      </c>
    </row>
    <row r="386" spans="2:5" x14ac:dyDescent="0.2">
      <c r="B386" s="59" t="s">
        <v>1267</v>
      </c>
      <c r="C386" s="226"/>
      <c r="D386" s="219">
        <v>10.31</v>
      </c>
      <c r="E386" s="56">
        <f t="shared" si="5"/>
        <v>0</v>
      </c>
    </row>
    <row r="387" spans="2:5" x14ac:dyDescent="0.2">
      <c r="B387" s="59" t="s">
        <v>957</v>
      </c>
      <c r="C387" s="226"/>
      <c r="D387" s="219">
        <v>12.35</v>
      </c>
      <c r="E387" s="56">
        <f t="shared" si="5"/>
        <v>0</v>
      </c>
    </row>
    <row r="388" spans="2:5" x14ac:dyDescent="0.2">
      <c r="B388" s="11" t="s">
        <v>958</v>
      </c>
      <c r="C388" s="226"/>
      <c r="D388" s="219">
        <v>11.7</v>
      </c>
      <c r="E388" s="56">
        <f t="shared" si="5"/>
        <v>0</v>
      </c>
    </row>
    <row r="389" spans="2:5" x14ac:dyDescent="0.2">
      <c r="B389" s="59" t="s">
        <v>959</v>
      </c>
      <c r="C389" s="226"/>
      <c r="D389" s="219">
        <v>10.31</v>
      </c>
      <c r="E389" s="56">
        <f t="shared" si="5"/>
        <v>0</v>
      </c>
    </row>
    <row r="390" spans="2:5" x14ac:dyDescent="0.2">
      <c r="B390" s="11" t="s">
        <v>960</v>
      </c>
      <c r="C390" s="226"/>
      <c r="D390" s="219">
        <v>8.6</v>
      </c>
      <c r="E390" s="56">
        <f t="shared" si="5"/>
        <v>0</v>
      </c>
    </row>
    <row r="391" spans="2:5" x14ac:dyDescent="0.2">
      <c r="B391" s="11" t="s">
        <v>1002</v>
      </c>
      <c r="C391" s="226"/>
      <c r="D391" s="219">
        <v>9.86</v>
      </c>
      <c r="E391" s="56">
        <f t="shared" si="5"/>
        <v>0</v>
      </c>
    </row>
    <row r="392" spans="2:5" x14ac:dyDescent="0.2">
      <c r="B392" s="59" t="s">
        <v>952</v>
      </c>
      <c r="C392" s="226"/>
      <c r="D392" s="219">
        <v>7.02</v>
      </c>
      <c r="E392" s="56">
        <f t="shared" si="5"/>
        <v>0</v>
      </c>
    </row>
    <row r="393" spans="2:5" x14ac:dyDescent="0.2">
      <c r="B393" s="11" t="s">
        <v>1003</v>
      </c>
      <c r="C393" s="226">
        <v>4</v>
      </c>
      <c r="D393" s="219">
        <v>8</v>
      </c>
      <c r="E393" s="56">
        <f t="shared" si="5"/>
        <v>32</v>
      </c>
    </row>
    <row r="394" spans="2:5" x14ac:dyDescent="0.2">
      <c r="B394" s="59" t="s">
        <v>1224</v>
      </c>
      <c r="C394" s="226">
        <v>2.2000000000000002</v>
      </c>
      <c r="D394" s="219">
        <v>7</v>
      </c>
      <c r="E394" s="56">
        <f t="shared" si="5"/>
        <v>15.400000000000002</v>
      </c>
    </row>
    <row r="395" spans="2:5" x14ac:dyDescent="0.2">
      <c r="B395" s="11" t="s">
        <v>1001</v>
      </c>
      <c r="C395" s="226">
        <v>1</v>
      </c>
      <c r="D395" s="219">
        <v>9.2100000000000009</v>
      </c>
      <c r="E395" s="56">
        <f t="shared" si="5"/>
        <v>9.2100000000000009</v>
      </c>
    </row>
    <row r="396" spans="2:5" x14ac:dyDescent="0.2">
      <c r="B396" s="11" t="s">
        <v>1000</v>
      </c>
      <c r="C396" s="226">
        <v>1.5</v>
      </c>
      <c r="D396" s="219">
        <v>7.42</v>
      </c>
      <c r="E396" s="56">
        <f t="shared" si="5"/>
        <v>11.129999999999999</v>
      </c>
    </row>
    <row r="397" spans="2:5" x14ac:dyDescent="0.2">
      <c r="B397" s="59" t="s">
        <v>961</v>
      </c>
      <c r="C397" s="226">
        <v>3.7</v>
      </c>
      <c r="D397" s="219">
        <v>10.5</v>
      </c>
      <c r="E397" s="56">
        <f t="shared" ref="E397:E460" si="6">C397*D397</f>
        <v>38.85</v>
      </c>
    </row>
    <row r="398" spans="2:5" x14ac:dyDescent="0.2">
      <c r="B398" s="11" t="s">
        <v>962</v>
      </c>
      <c r="C398" s="226">
        <v>0.6</v>
      </c>
      <c r="D398" s="219">
        <v>9</v>
      </c>
      <c r="E398" s="56">
        <f t="shared" si="6"/>
        <v>5.3999999999999995</v>
      </c>
    </row>
    <row r="399" spans="2:5" x14ac:dyDescent="0.2">
      <c r="B399" s="11" t="s">
        <v>963</v>
      </c>
      <c r="C399" s="226"/>
      <c r="D399" s="219">
        <v>8.1</v>
      </c>
      <c r="E399" s="56">
        <f t="shared" si="6"/>
        <v>0</v>
      </c>
    </row>
    <row r="400" spans="2:5" x14ac:dyDescent="0.2">
      <c r="B400" s="11" t="s">
        <v>964</v>
      </c>
      <c r="C400" s="226"/>
      <c r="D400" s="219">
        <v>9.86</v>
      </c>
      <c r="E400" s="56">
        <f t="shared" si="6"/>
        <v>0</v>
      </c>
    </row>
    <row r="401" spans="2:7" x14ac:dyDescent="0.2">
      <c r="B401" s="11" t="s">
        <v>953</v>
      </c>
      <c r="C401" s="226">
        <v>1.5</v>
      </c>
      <c r="D401" s="219">
        <v>7.19</v>
      </c>
      <c r="E401" s="56">
        <f t="shared" si="6"/>
        <v>10.785</v>
      </c>
    </row>
    <row r="402" spans="2:7" x14ac:dyDescent="0.2">
      <c r="B402" s="59" t="s">
        <v>965</v>
      </c>
      <c r="C402" s="226"/>
      <c r="D402" s="219">
        <v>9.6300000000000008</v>
      </c>
      <c r="E402" s="56">
        <f t="shared" si="6"/>
        <v>0</v>
      </c>
    </row>
    <row r="403" spans="2:7" x14ac:dyDescent="0.2">
      <c r="B403" s="59" t="s">
        <v>966</v>
      </c>
      <c r="C403" s="226"/>
      <c r="D403" s="219">
        <v>9.2100000000000009</v>
      </c>
      <c r="E403" s="56">
        <f t="shared" si="6"/>
        <v>0</v>
      </c>
      <c r="G403" s="70"/>
    </row>
    <row r="404" spans="2:7" x14ac:dyDescent="0.2">
      <c r="B404" s="11" t="s">
        <v>955</v>
      </c>
      <c r="C404" s="226">
        <v>1</v>
      </c>
      <c r="D404" s="219">
        <v>7.42</v>
      </c>
      <c r="E404" s="56">
        <f t="shared" si="6"/>
        <v>7.42</v>
      </c>
    </row>
    <row r="405" spans="2:7" x14ac:dyDescent="0.2">
      <c r="B405" s="11" t="s">
        <v>954</v>
      </c>
      <c r="C405" s="226"/>
      <c r="D405" s="219">
        <v>9.49</v>
      </c>
      <c r="E405" s="56">
        <f t="shared" si="6"/>
        <v>0</v>
      </c>
      <c r="G405" s="70"/>
    </row>
    <row r="406" spans="2:7" x14ac:dyDescent="0.2">
      <c r="B406" s="11" t="s">
        <v>969</v>
      </c>
      <c r="C406" s="226"/>
      <c r="D406" s="219"/>
      <c r="E406" s="56">
        <f t="shared" si="6"/>
        <v>0</v>
      </c>
      <c r="G406" s="70"/>
    </row>
    <row r="407" spans="2:7" x14ac:dyDescent="0.2">
      <c r="B407" s="11" t="s">
        <v>956</v>
      </c>
      <c r="C407" s="226"/>
      <c r="D407" s="219">
        <v>7.2</v>
      </c>
      <c r="E407" s="56">
        <f t="shared" si="6"/>
        <v>0</v>
      </c>
      <c r="G407" s="70"/>
    </row>
    <row r="408" spans="2:7" x14ac:dyDescent="0.2">
      <c r="B408" s="11" t="s">
        <v>998</v>
      </c>
      <c r="C408" s="226">
        <v>2.9</v>
      </c>
      <c r="D408" s="219">
        <v>4.45</v>
      </c>
      <c r="E408" s="56">
        <f t="shared" si="6"/>
        <v>12.904999999999999</v>
      </c>
    </row>
    <row r="409" spans="2:7" x14ac:dyDescent="0.2">
      <c r="B409" s="11" t="s">
        <v>1281</v>
      </c>
      <c r="C409" s="226"/>
      <c r="D409" s="219">
        <v>12</v>
      </c>
      <c r="E409" s="56">
        <f t="shared" si="6"/>
        <v>0</v>
      </c>
    </row>
    <row r="410" spans="2:7" x14ac:dyDescent="0.2">
      <c r="B410" s="11" t="s">
        <v>999</v>
      </c>
      <c r="C410" s="226"/>
      <c r="D410" s="219"/>
      <c r="E410" s="56">
        <f t="shared" si="6"/>
        <v>0</v>
      </c>
    </row>
    <row r="411" spans="2:7" x14ac:dyDescent="0.2">
      <c r="B411" s="11"/>
      <c r="C411" s="226"/>
      <c r="D411" s="219"/>
      <c r="E411" s="56">
        <f t="shared" si="6"/>
        <v>0</v>
      </c>
    </row>
    <row r="412" spans="2:7" x14ac:dyDescent="0.2">
      <c r="B412" s="23" t="s">
        <v>14</v>
      </c>
      <c r="C412" s="226"/>
      <c r="D412" s="219">
        <v>2.59</v>
      </c>
      <c r="E412" s="56">
        <f t="shared" si="6"/>
        <v>0</v>
      </c>
    </row>
    <row r="413" spans="2:7" x14ac:dyDescent="0.2">
      <c r="B413" s="23"/>
      <c r="C413" s="226"/>
      <c r="D413" s="219"/>
      <c r="E413" s="56">
        <f t="shared" si="6"/>
        <v>0</v>
      </c>
    </row>
    <row r="414" spans="2:7" x14ac:dyDescent="0.2">
      <c r="B414" s="59" t="s">
        <v>481</v>
      </c>
      <c r="C414" s="226"/>
      <c r="D414" s="219"/>
      <c r="E414" s="56">
        <f t="shared" si="6"/>
        <v>0</v>
      </c>
    </row>
    <row r="415" spans="2:7" x14ac:dyDescent="0.2">
      <c r="B415" s="59" t="s">
        <v>1145</v>
      </c>
      <c r="C415" s="226"/>
      <c r="D415" s="219"/>
      <c r="E415" s="56">
        <f t="shared" si="6"/>
        <v>0</v>
      </c>
    </row>
    <row r="416" spans="2:7" x14ac:dyDescent="0.2">
      <c r="B416" s="59" t="s">
        <v>1144</v>
      </c>
      <c r="C416" s="226"/>
      <c r="D416" s="219"/>
      <c r="E416" s="56">
        <f t="shared" si="6"/>
        <v>0</v>
      </c>
    </row>
    <row r="417" spans="2:5" x14ac:dyDescent="0.2">
      <c r="B417" s="59" t="s">
        <v>200</v>
      </c>
      <c r="C417" s="226"/>
      <c r="D417" s="219"/>
      <c r="E417" s="56">
        <f t="shared" si="6"/>
        <v>0</v>
      </c>
    </row>
    <row r="418" spans="2:5" x14ac:dyDescent="0.2">
      <c r="B418" s="59" t="s">
        <v>483</v>
      </c>
      <c r="C418" s="226"/>
      <c r="D418" s="219"/>
      <c r="E418" s="56">
        <f t="shared" si="6"/>
        <v>0</v>
      </c>
    </row>
    <row r="419" spans="2:5" x14ac:dyDescent="0.2">
      <c r="B419" s="59" t="s">
        <v>948</v>
      </c>
      <c r="C419" s="226"/>
      <c r="D419" s="219"/>
      <c r="E419" s="56">
        <f t="shared" si="6"/>
        <v>0</v>
      </c>
    </row>
    <row r="420" spans="2:5" x14ac:dyDescent="0.2">
      <c r="B420" s="59" t="s">
        <v>949</v>
      </c>
      <c r="C420" s="226"/>
      <c r="D420" s="219">
        <v>35.450000000000003</v>
      </c>
      <c r="E420" s="56">
        <f t="shared" si="6"/>
        <v>0</v>
      </c>
    </row>
    <row r="421" spans="2:5" x14ac:dyDescent="0.2">
      <c r="B421" s="23" t="s">
        <v>852</v>
      </c>
      <c r="C421" s="226"/>
      <c r="D421" s="219">
        <v>47.94</v>
      </c>
      <c r="E421" s="56">
        <f t="shared" si="6"/>
        <v>0</v>
      </c>
    </row>
    <row r="422" spans="2:5" x14ac:dyDescent="0.2">
      <c r="B422" s="23" t="s">
        <v>839</v>
      </c>
      <c r="C422" s="226"/>
      <c r="D422" s="219">
        <v>55.34</v>
      </c>
      <c r="E422" s="56">
        <f t="shared" si="6"/>
        <v>0</v>
      </c>
    </row>
    <row r="423" spans="2:5" x14ac:dyDescent="0.2">
      <c r="B423" s="59" t="s">
        <v>897</v>
      </c>
      <c r="C423" s="226"/>
      <c r="D423" s="219">
        <v>27.32</v>
      </c>
      <c r="E423" s="56">
        <f t="shared" si="6"/>
        <v>0</v>
      </c>
    </row>
    <row r="424" spans="2:5" x14ac:dyDescent="0.2">
      <c r="B424" s="59" t="s">
        <v>840</v>
      </c>
      <c r="C424" s="226"/>
      <c r="D424" s="219">
        <v>19.239999999999998</v>
      </c>
      <c r="E424" s="56">
        <f t="shared" si="6"/>
        <v>0</v>
      </c>
    </row>
    <row r="425" spans="2:5" x14ac:dyDescent="0.15">
      <c r="B425" s="60" t="s">
        <v>135</v>
      </c>
      <c r="C425" s="229">
        <v>8</v>
      </c>
      <c r="D425" s="219">
        <v>18.149999999999999</v>
      </c>
      <c r="E425" s="56">
        <f t="shared" si="6"/>
        <v>145.19999999999999</v>
      </c>
    </row>
    <row r="426" spans="2:5" x14ac:dyDescent="0.2">
      <c r="B426" s="11" t="s">
        <v>484</v>
      </c>
      <c r="C426" s="226"/>
      <c r="D426" s="219">
        <v>20</v>
      </c>
      <c r="E426" s="56">
        <f t="shared" si="6"/>
        <v>0</v>
      </c>
    </row>
    <row r="427" spans="2:5" x14ac:dyDescent="0.2">
      <c r="B427" s="11" t="s">
        <v>485</v>
      </c>
      <c r="C427" s="226"/>
      <c r="D427" s="219">
        <v>69.41</v>
      </c>
      <c r="E427" s="56">
        <f t="shared" si="6"/>
        <v>0</v>
      </c>
    </row>
    <row r="428" spans="2:5" x14ac:dyDescent="0.2">
      <c r="B428" s="59" t="s">
        <v>486</v>
      </c>
      <c r="C428" s="226"/>
      <c r="D428" s="219">
        <v>245.88</v>
      </c>
      <c r="E428" s="56">
        <f t="shared" si="6"/>
        <v>0</v>
      </c>
    </row>
    <row r="429" spans="2:5" x14ac:dyDescent="0.2">
      <c r="B429" s="59" t="s">
        <v>74</v>
      </c>
      <c r="C429" s="226">
        <v>0.3</v>
      </c>
      <c r="D429" s="219">
        <v>27.57</v>
      </c>
      <c r="E429" s="56">
        <f t="shared" si="6"/>
        <v>8.270999999999999</v>
      </c>
    </row>
    <row r="430" spans="2:5" x14ac:dyDescent="0.2">
      <c r="B430" s="59" t="s">
        <v>489</v>
      </c>
      <c r="C430" s="226"/>
      <c r="D430" s="219">
        <v>15</v>
      </c>
      <c r="E430" s="56">
        <f t="shared" si="6"/>
        <v>0</v>
      </c>
    </row>
    <row r="431" spans="2:5" x14ac:dyDescent="0.2">
      <c r="B431" s="59" t="s">
        <v>207</v>
      </c>
      <c r="C431" s="226"/>
      <c r="D431" s="219">
        <v>15</v>
      </c>
      <c r="E431" s="56">
        <f t="shared" si="6"/>
        <v>0</v>
      </c>
    </row>
    <row r="432" spans="2:5" x14ac:dyDescent="0.2">
      <c r="B432" s="59" t="s">
        <v>488</v>
      </c>
      <c r="C432" s="226">
        <v>1</v>
      </c>
      <c r="D432" s="219">
        <v>15</v>
      </c>
      <c r="E432" s="56">
        <f t="shared" si="6"/>
        <v>15</v>
      </c>
    </row>
    <row r="433" spans="2:5" x14ac:dyDescent="0.2">
      <c r="B433" s="59" t="s">
        <v>490</v>
      </c>
      <c r="C433" s="226">
        <v>0.7</v>
      </c>
      <c r="D433" s="219">
        <v>17</v>
      </c>
      <c r="E433" s="56">
        <f t="shared" si="6"/>
        <v>11.899999999999999</v>
      </c>
    </row>
    <row r="434" spans="2:5" x14ac:dyDescent="0.2">
      <c r="B434" s="59" t="s">
        <v>487</v>
      </c>
      <c r="C434" s="226"/>
      <c r="D434" s="219">
        <v>50.88</v>
      </c>
      <c r="E434" s="56">
        <f t="shared" si="6"/>
        <v>0</v>
      </c>
    </row>
    <row r="435" spans="2:5" x14ac:dyDescent="0.2">
      <c r="B435" s="59" t="s">
        <v>76</v>
      </c>
      <c r="C435" s="226"/>
      <c r="D435" s="219">
        <v>127.67</v>
      </c>
      <c r="E435" s="56">
        <f t="shared" si="6"/>
        <v>0</v>
      </c>
    </row>
    <row r="436" spans="2:5" x14ac:dyDescent="0.2">
      <c r="B436" s="59" t="s">
        <v>491</v>
      </c>
      <c r="C436" s="226"/>
      <c r="D436" s="219">
        <v>160</v>
      </c>
      <c r="E436" s="56">
        <f t="shared" si="6"/>
        <v>0</v>
      </c>
    </row>
    <row r="437" spans="2:5" x14ac:dyDescent="0.2">
      <c r="B437" s="59" t="s">
        <v>492</v>
      </c>
      <c r="C437" s="226">
        <v>1</v>
      </c>
      <c r="D437" s="219">
        <v>49</v>
      </c>
      <c r="E437" s="56">
        <f t="shared" si="6"/>
        <v>49</v>
      </c>
    </row>
    <row r="438" spans="2:5" x14ac:dyDescent="0.2">
      <c r="B438" s="59" t="s">
        <v>493</v>
      </c>
      <c r="C438" s="226">
        <v>1</v>
      </c>
      <c r="D438" s="219">
        <v>41.78</v>
      </c>
      <c r="E438" s="56">
        <f t="shared" si="6"/>
        <v>41.78</v>
      </c>
    </row>
    <row r="439" spans="2:5" x14ac:dyDescent="0.2">
      <c r="B439" s="59" t="s">
        <v>809</v>
      </c>
      <c r="C439" s="226"/>
      <c r="D439" s="219">
        <v>35</v>
      </c>
      <c r="E439" s="56">
        <f t="shared" si="6"/>
        <v>0</v>
      </c>
    </row>
    <row r="440" spans="2:5" x14ac:dyDescent="0.2">
      <c r="B440" s="59" t="s">
        <v>77</v>
      </c>
      <c r="C440" s="226"/>
      <c r="D440" s="219">
        <v>42.04</v>
      </c>
      <c r="E440" s="56">
        <f t="shared" si="6"/>
        <v>0</v>
      </c>
    </row>
    <row r="441" spans="2:5" x14ac:dyDescent="0.2">
      <c r="B441" s="59" t="s">
        <v>808</v>
      </c>
      <c r="C441" s="226"/>
      <c r="D441" s="219">
        <v>25</v>
      </c>
      <c r="E441" s="56">
        <f t="shared" si="6"/>
        <v>0</v>
      </c>
    </row>
    <row r="442" spans="2:5" x14ac:dyDescent="0.2">
      <c r="B442" s="59" t="s">
        <v>823</v>
      </c>
      <c r="C442" s="226"/>
      <c r="D442" s="219">
        <v>29</v>
      </c>
      <c r="E442" s="56">
        <f t="shared" si="6"/>
        <v>0</v>
      </c>
    </row>
    <row r="443" spans="2:5" x14ac:dyDescent="0.2">
      <c r="B443" s="59" t="s">
        <v>871</v>
      </c>
      <c r="C443" s="226"/>
      <c r="D443" s="219">
        <v>77.319999999999993</v>
      </c>
      <c r="E443" s="56">
        <f t="shared" si="6"/>
        <v>0</v>
      </c>
    </row>
    <row r="444" spans="2:5" x14ac:dyDescent="0.2">
      <c r="B444" s="59" t="s">
        <v>1273</v>
      </c>
      <c r="C444" s="226"/>
      <c r="D444" s="219">
        <v>52</v>
      </c>
      <c r="E444" s="56">
        <f t="shared" si="6"/>
        <v>0</v>
      </c>
    </row>
    <row r="445" spans="2:5" x14ac:dyDescent="0.2">
      <c r="B445" s="59" t="s">
        <v>810</v>
      </c>
      <c r="C445" s="226"/>
      <c r="D445" s="219">
        <v>32</v>
      </c>
      <c r="E445" s="56">
        <f t="shared" si="6"/>
        <v>0</v>
      </c>
    </row>
    <row r="446" spans="2:5" x14ac:dyDescent="0.2">
      <c r="B446" s="59" t="s">
        <v>896</v>
      </c>
      <c r="C446" s="226">
        <v>0.9</v>
      </c>
      <c r="D446" s="219">
        <v>98.55</v>
      </c>
      <c r="E446" s="56">
        <f t="shared" si="6"/>
        <v>88.694999999999993</v>
      </c>
    </row>
    <row r="447" spans="2:5" x14ac:dyDescent="0.2">
      <c r="B447" s="59" t="s">
        <v>983</v>
      </c>
      <c r="C447" s="226"/>
      <c r="D447" s="219">
        <v>30.79</v>
      </c>
      <c r="E447" s="56">
        <f t="shared" si="6"/>
        <v>0</v>
      </c>
    </row>
    <row r="448" spans="2:5" x14ac:dyDescent="0.2">
      <c r="B448" s="59" t="s">
        <v>482</v>
      </c>
      <c r="C448" s="226"/>
      <c r="D448" s="219">
        <v>23.34</v>
      </c>
      <c r="E448" s="56">
        <f t="shared" si="6"/>
        <v>0</v>
      </c>
    </row>
    <row r="449" spans="2:5" x14ac:dyDescent="0.2">
      <c r="B449" s="23" t="s">
        <v>1010</v>
      </c>
      <c r="C449" s="230"/>
      <c r="D449" s="222">
        <v>17</v>
      </c>
      <c r="E449" s="56">
        <f t="shared" si="6"/>
        <v>0</v>
      </c>
    </row>
    <row r="450" spans="2:5" x14ac:dyDescent="0.2">
      <c r="B450" s="59" t="s">
        <v>882</v>
      </c>
      <c r="C450" s="226"/>
      <c r="D450" s="219"/>
      <c r="E450" s="56">
        <f t="shared" si="6"/>
        <v>0</v>
      </c>
    </row>
    <row r="451" spans="2:5" x14ac:dyDescent="0.2">
      <c r="B451" s="59" t="s">
        <v>995</v>
      </c>
      <c r="C451" s="226"/>
      <c r="D451" s="219"/>
      <c r="E451" s="56">
        <f t="shared" si="6"/>
        <v>0</v>
      </c>
    </row>
    <row r="452" spans="2:5" x14ac:dyDescent="0.2">
      <c r="B452" s="59" t="s">
        <v>1228</v>
      </c>
      <c r="C452" s="226"/>
      <c r="D452" s="219">
        <v>37</v>
      </c>
      <c r="E452" s="56">
        <f t="shared" si="6"/>
        <v>0</v>
      </c>
    </row>
    <row r="453" spans="2:5" x14ac:dyDescent="0.2">
      <c r="B453" s="59" t="s">
        <v>1227</v>
      </c>
      <c r="C453" s="226"/>
      <c r="D453" s="219">
        <v>43.05</v>
      </c>
      <c r="E453" s="56">
        <f t="shared" si="6"/>
        <v>0</v>
      </c>
    </row>
    <row r="454" spans="2:5" x14ac:dyDescent="0.2">
      <c r="B454" s="59" t="s">
        <v>1259</v>
      </c>
      <c r="C454" s="226"/>
      <c r="D454" s="219"/>
      <c r="E454" s="56">
        <f t="shared" si="6"/>
        <v>0</v>
      </c>
    </row>
    <row r="455" spans="2:5" x14ac:dyDescent="0.2">
      <c r="B455" s="59" t="s">
        <v>1261</v>
      </c>
      <c r="C455" s="226"/>
      <c r="D455" s="219"/>
      <c r="E455" s="56">
        <f t="shared" si="6"/>
        <v>0</v>
      </c>
    </row>
    <row r="456" spans="2:5" x14ac:dyDescent="0.2">
      <c r="B456" s="59" t="s">
        <v>1260</v>
      </c>
      <c r="C456" s="226"/>
      <c r="D456" s="219">
        <v>18</v>
      </c>
      <c r="E456" s="56">
        <f t="shared" si="6"/>
        <v>0</v>
      </c>
    </row>
    <row r="457" spans="2:5" x14ac:dyDescent="0.2">
      <c r="B457" s="59"/>
      <c r="C457" s="226"/>
      <c r="D457" s="219"/>
      <c r="E457" s="56">
        <f t="shared" si="6"/>
        <v>0</v>
      </c>
    </row>
    <row r="458" spans="2:5" x14ac:dyDescent="0.2">
      <c r="B458" s="59"/>
      <c r="C458" s="226"/>
      <c r="D458" s="219"/>
      <c r="E458" s="56">
        <f t="shared" si="6"/>
        <v>0</v>
      </c>
    </row>
    <row r="459" spans="2:5" x14ac:dyDescent="0.2">
      <c r="B459" s="59" t="s">
        <v>1256</v>
      </c>
      <c r="C459" s="226">
        <v>1.5</v>
      </c>
      <c r="D459" s="219">
        <v>17.649999999999999</v>
      </c>
      <c r="E459" s="56">
        <f t="shared" si="6"/>
        <v>26.474999999999998</v>
      </c>
    </row>
    <row r="460" spans="2:5" x14ac:dyDescent="0.2">
      <c r="B460" s="59" t="s">
        <v>143</v>
      </c>
      <c r="C460" s="226"/>
      <c r="D460" s="219">
        <v>23.95</v>
      </c>
      <c r="E460" s="56">
        <f t="shared" si="6"/>
        <v>0</v>
      </c>
    </row>
    <row r="461" spans="2:5" x14ac:dyDescent="0.2">
      <c r="B461" s="11" t="s">
        <v>968</v>
      </c>
      <c r="C461" s="226"/>
      <c r="D461" s="219">
        <v>9.2200000000000006</v>
      </c>
      <c r="E461" s="56">
        <f t="shared" ref="E461:E503" si="7">C461*D461</f>
        <v>0</v>
      </c>
    </row>
    <row r="462" spans="2:5" x14ac:dyDescent="0.2">
      <c r="B462" s="11" t="s">
        <v>497</v>
      </c>
      <c r="C462" s="226">
        <v>2</v>
      </c>
      <c r="D462" s="219">
        <v>23.75</v>
      </c>
      <c r="E462" s="56">
        <f t="shared" si="7"/>
        <v>47.5</v>
      </c>
    </row>
    <row r="463" spans="2:5" x14ac:dyDescent="0.2">
      <c r="B463" s="11" t="s">
        <v>1294</v>
      </c>
      <c r="C463" s="226">
        <v>1</v>
      </c>
      <c r="D463" s="219">
        <v>7.62</v>
      </c>
      <c r="E463" s="56">
        <f t="shared" si="7"/>
        <v>7.62</v>
      </c>
    </row>
    <row r="464" spans="2:5" x14ac:dyDescent="0.2">
      <c r="B464" s="11" t="s">
        <v>498</v>
      </c>
      <c r="C464" s="226">
        <v>1</v>
      </c>
      <c r="D464" s="219">
        <v>16.72</v>
      </c>
      <c r="E464" s="56">
        <f t="shared" si="7"/>
        <v>16.72</v>
      </c>
    </row>
    <row r="465" spans="2:5" x14ac:dyDescent="0.2">
      <c r="B465" s="11" t="s">
        <v>1009</v>
      </c>
      <c r="C465" s="226"/>
      <c r="D465" s="219">
        <v>12</v>
      </c>
      <c r="E465" s="56">
        <f t="shared" si="7"/>
        <v>0</v>
      </c>
    </row>
    <row r="466" spans="2:5" x14ac:dyDescent="0.2">
      <c r="B466" s="11" t="s">
        <v>1230</v>
      </c>
      <c r="C466" s="226">
        <v>1</v>
      </c>
      <c r="D466" s="219">
        <v>12</v>
      </c>
      <c r="E466" s="56">
        <f t="shared" si="7"/>
        <v>12</v>
      </c>
    </row>
    <row r="467" spans="2:5" x14ac:dyDescent="0.2">
      <c r="B467" s="11" t="s">
        <v>1258</v>
      </c>
      <c r="C467" s="226">
        <v>3</v>
      </c>
      <c r="D467" s="219">
        <v>16</v>
      </c>
      <c r="E467" s="56">
        <f t="shared" si="7"/>
        <v>48</v>
      </c>
    </row>
    <row r="468" spans="2:5" x14ac:dyDescent="0.2">
      <c r="B468" s="11" t="s">
        <v>1283</v>
      </c>
      <c r="C468" s="226">
        <v>1</v>
      </c>
      <c r="D468" s="219">
        <v>10</v>
      </c>
      <c r="E468" s="56">
        <f t="shared" si="7"/>
        <v>10</v>
      </c>
    </row>
    <row r="469" spans="2:5" x14ac:dyDescent="0.2">
      <c r="B469" s="59" t="s">
        <v>149</v>
      </c>
      <c r="C469" s="226"/>
      <c r="D469" s="219">
        <v>11.58</v>
      </c>
      <c r="E469" s="56">
        <f t="shared" si="7"/>
        <v>0</v>
      </c>
    </row>
    <row r="470" spans="2:5" x14ac:dyDescent="0.2">
      <c r="B470" s="59" t="s">
        <v>160</v>
      </c>
      <c r="C470" s="226"/>
      <c r="D470" s="219">
        <v>18.2</v>
      </c>
      <c r="E470" s="56">
        <f t="shared" si="7"/>
        <v>0</v>
      </c>
    </row>
    <row r="471" spans="2:5" x14ac:dyDescent="0.2">
      <c r="B471" s="11" t="s">
        <v>169</v>
      </c>
      <c r="C471" s="226">
        <v>1</v>
      </c>
      <c r="D471" s="219">
        <v>9.15</v>
      </c>
      <c r="E471" s="56">
        <f t="shared" si="7"/>
        <v>9.15</v>
      </c>
    </row>
    <row r="472" spans="2:5" x14ac:dyDescent="0.2">
      <c r="B472" s="11"/>
      <c r="C472" s="226"/>
      <c r="D472" s="219"/>
      <c r="E472" s="56">
        <f t="shared" si="7"/>
        <v>0</v>
      </c>
    </row>
    <row r="473" spans="2:5" x14ac:dyDescent="0.2">
      <c r="B473" s="11" t="s">
        <v>951</v>
      </c>
      <c r="C473" s="226"/>
      <c r="D473" s="219">
        <v>12.8</v>
      </c>
      <c r="E473" s="56">
        <f t="shared" si="7"/>
        <v>0</v>
      </c>
    </row>
    <row r="474" spans="2:5" x14ac:dyDescent="0.2">
      <c r="B474" s="11" t="s">
        <v>1222</v>
      </c>
      <c r="C474" s="226">
        <v>6</v>
      </c>
      <c r="D474" s="219">
        <v>11.12</v>
      </c>
      <c r="E474" s="56">
        <f t="shared" si="7"/>
        <v>66.72</v>
      </c>
    </row>
    <row r="475" spans="2:5" x14ac:dyDescent="0.2">
      <c r="B475" s="11" t="s">
        <v>1148</v>
      </c>
      <c r="C475" s="226">
        <v>3</v>
      </c>
      <c r="D475" s="219">
        <v>9.11</v>
      </c>
      <c r="E475" s="56">
        <f t="shared" si="7"/>
        <v>27.33</v>
      </c>
    </row>
    <row r="476" spans="2:5" x14ac:dyDescent="0.2">
      <c r="B476" s="59" t="s">
        <v>506</v>
      </c>
      <c r="C476" s="226"/>
      <c r="D476" s="219">
        <v>29.44</v>
      </c>
      <c r="E476" s="56">
        <f t="shared" si="7"/>
        <v>0</v>
      </c>
    </row>
    <row r="477" spans="2:5" x14ac:dyDescent="0.2">
      <c r="B477" s="27" t="s">
        <v>134</v>
      </c>
      <c r="C477" s="226"/>
      <c r="D477" s="219">
        <v>5.19</v>
      </c>
      <c r="E477" s="56">
        <f t="shared" si="7"/>
        <v>0</v>
      </c>
    </row>
    <row r="478" spans="2:5" x14ac:dyDescent="0.2">
      <c r="B478" s="27" t="s">
        <v>976</v>
      </c>
      <c r="C478" s="226"/>
      <c r="D478" s="219">
        <v>11.75</v>
      </c>
      <c r="E478" s="56">
        <f t="shared" si="7"/>
        <v>0</v>
      </c>
    </row>
    <row r="479" spans="2:5" x14ac:dyDescent="0.2">
      <c r="B479" s="27" t="s">
        <v>1247</v>
      </c>
      <c r="C479" s="226">
        <v>4</v>
      </c>
      <c r="D479" s="219">
        <v>10.4</v>
      </c>
      <c r="E479" s="56">
        <f t="shared" si="7"/>
        <v>41.6</v>
      </c>
    </row>
    <row r="480" spans="2:5" x14ac:dyDescent="0.2">
      <c r="B480" s="11" t="s">
        <v>510</v>
      </c>
      <c r="C480" s="226"/>
      <c r="D480" s="219">
        <v>9.14</v>
      </c>
      <c r="E480" s="56">
        <f t="shared" si="7"/>
        <v>0</v>
      </c>
    </row>
    <row r="481" spans="2:5" x14ac:dyDescent="0.2">
      <c r="B481" s="11" t="s">
        <v>512</v>
      </c>
      <c r="C481" s="226"/>
      <c r="D481" s="219">
        <v>8.1999999999999993</v>
      </c>
      <c r="E481" s="56">
        <f t="shared" si="7"/>
        <v>0</v>
      </c>
    </row>
    <row r="482" spans="2:5" x14ac:dyDescent="0.2">
      <c r="B482" s="59" t="s">
        <v>511</v>
      </c>
      <c r="C482" s="226"/>
      <c r="D482" s="219">
        <v>14.64</v>
      </c>
      <c r="E482" s="56">
        <f t="shared" si="7"/>
        <v>0</v>
      </c>
    </row>
    <row r="483" spans="2:5" x14ac:dyDescent="0.2">
      <c r="B483" s="59" t="s">
        <v>513</v>
      </c>
      <c r="C483" s="226"/>
      <c r="D483" s="219">
        <v>24.5</v>
      </c>
      <c r="E483" s="56">
        <f t="shared" si="7"/>
        <v>0</v>
      </c>
    </row>
    <row r="484" spans="2:5" x14ac:dyDescent="0.2">
      <c r="B484" s="27" t="s">
        <v>508</v>
      </c>
      <c r="C484" s="226">
        <v>1</v>
      </c>
      <c r="D484" s="219">
        <v>6.63</v>
      </c>
      <c r="E484" s="56">
        <f t="shared" si="7"/>
        <v>6.63</v>
      </c>
    </row>
    <row r="485" spans="2:5" x14ac:dyDescent="0.2">
      <c r="B485" s="11" t="s">
        <v>517</v>
      </c>
      <c r="C485" s="226"/>
      <c r="D485" s="219">
        <v>12.79</v>
      </c>
      <c r="E485" s="56">
        <f t="shared" si="7"/>
        <v>0</v>
      </c>
    </row>
    <row r="486" spans="2:5" x14ac:dyDescent="0.2">
      <c r="B486" s="11"/>
      <c r="C486" s="226"/>
      <c r="D486" s="219"/>
      <c r="E486" s="56">
        <f t="shared" si="7"/>
        <v>0</v>
      </c>
    </row>
    <row r="487" spans="2:5" x14ac:dyDescent="0.2">
      <c r="B487" s="11" t="s">
        <v>1240</v>
      </c>
      <c r="C487" s="226">
        <v>2.6</v>
      </c>
      <c r="D487" s="219"/>
      <c r="E487" s="56">
        <f t="shared" si="7"/>
        <v>0</v>
      </c>
    </row>
    <row r="488" spans="2:5" x14ac:dyDescent="0.2">
      <c r="B488" s="11" t="s">
        <v>514</v>
      </c>
      <c r="C488" s="226"/>
      <c r="D488" s="219">
        <v>5.22</v>
      </c>
      <c r="E488" s="56">
        <f t="shared" si="7"/>
        <v>0</v>
      </c>
    </row>
    <row r="489" spans="2:5" x14ac:dyDescent="0.2">
      <c r="B489" s="59" t="s">
        <v>515</v>
      </c>
      <c r="C489" s="226"/>
      <c r="D489" s="219">
        <v>22.14</v>
      </c>
      <c r="E489" s="56">
        <f t="shared" si="7"/>
        <v>0</v>
      </c>
    </row>
    <row r="490" spans="2:5" x14ac:dyDescent="0.2">
      <c r="B490" s="59" t="s">
        <v>516</v>
      </c>
      <c r="C490" s="226"/>
      <c r="D490" s="219">
        <v>0</v>
      </c>
      <c r="E490" s="56">
        <f t="shared" si="7"/>
        <v>0</v>
      </c>
    </row>
    <row r="491" spans="2:5" x14ac:dyDescent="0.2">
      <c r="B491" s="11" t="s">
        <v>992</v>
      </c>
      <c r="C491" s="226">
        <v>1</v>
      </c>
      <c r="D491" s="219">
        <v>3.97</v>
      </c>
      <c r="E491" s="56">
        <f t="shared" si="7"/>
        <v>3.97</v>
      </c>
    </row>
    <row r="492" spans="2:5" x14ac:dyDescent="0.2">
      <c r="B492" s="11" t="s">
        <v>518</v>
      </c>
      <c r="C492" s="226">
        <v>1</v>
      </c>
      <c r="D492" s="219">
        <v>7.79</v>
      </c>
      <c r="E492" s="56">
        <f t="shared" si="7"/>
        <v>7.79</v>
      </c>
    </row>
    <row r="493" spans="2:5" x14ac:dyDescent="0.2">
      <c r="B493" s="59" t="s">
        <v>519</v>
      </c>
      <c r="C493" s="226"/>
      <c r="D493" s="219">
        <v>44.84</v>
      </c>
      <c r="E493" s="56">
        <f t="shared" si="7"/>
        <v>0</v>
      </c>
    </row>
    <row r="494" spans="2:5" x14ac:dyDescent="0.2">
      <c r="B494" s="59" t="s">
        <v>520</v>
      </c>
      <c r="C494" s="226"/>
      <c r="D494" s="219">
        <v>6.87</v>
      </c>
      <c r="E494" s="56">
        <f t="shared" si="7"/>
        <v>0</v>
      </c>
    </row>
    <row r="495" spans="2:5" x14ac:dyDescent="0.2">
      <c r="B495" s="27" t="s">
        <v>507</v>
      </c>
      <c r="C495" s="226">
        <v>0.3</v>
      </c>
      <c r="D495" s="219">
        <v>9.09</v>
      </c>
      <c r="E495" s="56">
        <f t="shared" si="7"/>
        <v>2.7269999999999999</v>
      </c>
    </row>
    <row r="496" spans="2:5" x14ac:dyDescent="0.2">
      <c r="B496" s="59" t="s">
        <v>522</v>
      </c>
      <c r="C496" s="226"/>
      <c r="D496" s="219">
        <v>10.79</v>
      </c>
      <c r="E496" s="56">
        <f t="shared" si="7"/>
        <v>0</v>
      </c>
    </row>
    <row r="497" spans="2:5" x14ac:dyDescent="0.2">
      <c r="B497" s="11" t="s">
        <v>171</v>
      </c>
      <c r="C497" s="226">
        <v>2.8</v>
      </c>
      <c r="D497" s="219">
        <v>12.75</v>
      </c>
      <c r="E497" s="56">
        <f t="shared" si="7"/>
        <v>35.699999999999996</v>
      </c>
    </row>
    <row r="498" spans="2:5" x14ac:dyDescent="0.2">
      <c r="B498" s="11" t="s">
        <v>891</v>
      </c>
      <c r="C498" s="226">
        <v>0.9</v>
      </c>
      <c r="D498" s="219">
        <v>7.0810000000000004</v>
      </c>
      <c r="E498" s="56">
        <f t="shared" si="7"/>
        <v>6.3729000000000005</v>
      </c>
    </row>
    <row r="499" spans="2:5" x14ac:dyDescent="0.2">
      <c r="B499" s="11" t="s">
        <v>890</v>
      </c>
      <c r="C499" s="226">
        <v>1</v>
      </c>
      <c r="D499" s="219">
        <v>10.37</v>
      </c>
      <c r="E499" s="56">
        <f t="shared" si="7"/>
        <v>10.37</v>
      </c>
    </row>
    <row r="500" spans="2:5" x14ac:dyDescent="0.2">
      <c r="B500" s="59" t="s">
        <v>521</v>
      </c>
      <c r="C500" s="226"/>
      <c r="D500" s="219">
        <v>4</v>
      </c>
      <c r="E500" s="56">
        <f t="shared" si="7"/>
        <v>0</v>
      </c>
    </row>
    <row r="501" spans="2:5" x14ac:dyDescent="0.2">
      <c r="B501" s="59" t="s">
        <v>841</v>
      </c>
      <c r="C501" s="226"/>
      <c r="D501" s="219">
        <v>12.86</v>
      </c>
      <c r="E501" s="56">
        <f t="shared" si="7"/>
        <v>0</v>
      </c>
    </row>
    <row r="502" spans="2:5" x14ac:dyDescent="0.2">
      <c r="B502" s="59" t="s">
        <v>524</v>
      </c>
      <c r="C502" s="226"/>
      <c r="D502" s="219">
        <v>8.18</v>
      </c>
      <c r="E502" s="56">
        <f t="shared" si="7"/>
        <v>0</v>
      </c>
    </row>
    <row r="503" spans="2:5" x14ac:dyDescent="0.2">
      <c r="B503" s="59" t="s">
        <v>892</v>
      </c>
      <c r="C503" s="226">
        <v>1</v>
      </c>
      <c r="D503" s="219">
        <v>10.52</v>
      </c>
      <c r="E503" s="56">
        <f t="shared" si="7"/>
        <v>10.52</v>
      </c>
    </row>
    <row r="504" spans="2:5" x14ac:dyDescent="0.2">
      <c r="B504" s="59" t="s">
        <v>1141</v>
      </c>
      <c r="C504" s="226">
        <v>1</v>
      </c>
      <c r="D504" s="219">
        <v>11.89</v>
      </c>
      <c r="E504" s="56">
        <f t="shared" ref="E466:E526" si="8">C504*D504</f>
        <v>11.89</v>
      </c>
    </row>
    <row r="505" spans="2:5" x14ac:dyDescent="0.2">
      <c r="B505" s="59" t="s">
        <v>1142</v>
      </c>
      <c r="C505" s="226"/>
      <c r="D505" s="219">
        <v>6.35</v>
      </c>
      <c r="E505" s="56">
        <f t="shared" si="8"/>
        <v>0</v>
      </c>
    </row>
    <row r="506" spans="2:5" x14ac:dyDescent="0.2">
      <c r="B506" s="59" t="s">
        <v>1143</v>
      </c>
      <c r="C506" s="226"/>
      <c r="D506" s="219">
        <v>18</v>
      </c>
      <c r="E506" s="56">
        <f t="shared" si="8"/>
        <v>0</v>
      </c>
    </row>
    <row r="507" spans="2:5" x14ac:dyDescent="0.2">
      <c r="B507" s="59" t="s">
        <v>1221</v>
      </c>
      <c r="C507" s="226"/>
      <c r="D507" s="219">
        <v>20.81</v>
      </c>
      <c r="E507" s="56">
        <f t="shared" si="8"/>
        <v>0</v>
      </c>
    </row>
    <row r="508" spans="2:5" x14ac:dyDescent="0.2">
      <c r="B508" s="59" t="s">
        <v>1223</v>
      </c>
      <c r="C508" s="226"/>
      <c r="D508" s="219"/>
      <c r="E508" s="56">
        <f t="shared" si="8"/>
        <v>0</v>
      </c>
    </row>
    <row r="509" spans="2:5" x14ac:dyDescent="0.2">
      <c r="B509" s="59" t="s">
        <v>1293</v>
      </c>
      <c r="C509" s="226"/>
      <c r="D509" s="219">
        <v>10</v>
      </c>
      <c r="E509" s="56">
        <f t="shared" si="8"/>
        <v>0</v>
      </c>
    </row>
    <row r="510" spans="2:5" x14ac:dyDescent="0.2">
      <c r="B510" s="59" t="s">
        <v>1237</v>
      </c>
      <c r="C510" s="226"/>
      <c r="D510" s="219">
        <v>12</v>
      </c>
      <c r="E510" s="56">
        <f t="shared" si="8"/>
        <v>0</v>
      </c>
    </row>
    <row r="511" spans="2:5" x14ac:dyDescent="0.2">
      <c r="B511" s="59" t="s">
        <v>1238</v>
      </c>
      <c r="C511" s="226"/>
      <c r="D511" s="219">
        <v>12</v>
      </c>
      <c r="E511" s="56">
        <f t="shared" si="8"/>
        <v>0</v>
      </c>
    </row>
    <row r="512" spans="2:5" x14ac:dyDescent="0.2">
      <c r="B512" s="59" t="s">
        <v>1239</v>
      </c>
      <c r="C512" s="226"/>
      <c r="D512" s="219">
        <v>12</v>
      </c>
      <c r="E512" s="56">
        <f t="shared" si="8"/>
        <v>0</v>
      </c>
    </row>
    <row r="513" spans="2:5" x14ac:dyDescent="0.2">
      <c r="B513" s="59" t="s">
        <v>1243</v>
      </c>
      <c r="C513" s="226"/>
      <c r="D513" s="219">
        <v>12</v>
      </c>
      <c r="E513" s="56">
        <f t="shared" si="8"/>
        <v>0</v>
      </c>
    </row>
    <row r="514" spans="2:5" x14ac:dyDescent="0.2">
      <c r="B514" s="59"/>
      <c r="C514" s="226"/>
      <c r="D514" s="219"/>
      <c r="E514" s="56">
        <f t="shared" si="8"/>
        <v>0</v>
      </c>
    </row>
    <row r="515" spans="2:5" x14ac:dyDescent="0.2">
      <c r="B515" s="59" t="s">
        <v>993</v>
      </c>
      <c r="C515" s="226"/>
      <c r="D515" s="219">
        <v>34</v>
      </c>
      <c r="E515" s="56">
        <f t="shared" si="8"/>
        <v>0</v>
      </c>
    </row>
    <row r="516" spans="2:5" x14ac:dyDescent="0.2">
      <c r="B516" s="11" t="s">
        <v>133</v>
      </c>
      <c r="C516" s="226">
        <v>1</v>
      </c>
      <c r="D516" s="219">
        <v>10.75</v>
      </c>
      <c r="E516" s="56">
        <f t="shared" si="8"/>
        <v>10.75</v>
      </c>
    </row>
    <row r="517" spans="2:5" x14ac:dyDescent="0.2">
      <c r="B517" s="11" t="s">
        <v>526</v>
      </c>
      <c r="C517" s="226"/>
      <c r="D517" s="219">
        <v>30.46</v>
      </c>
      <c r="E517" s="56">
        <f t="shared" si="8"/>
        <v>0</v>
      </c>
    </row>
    <row r="518" spans="2:5" x14ac:dyDescent="0.2">
      <c r="B518" s="11" t="s">
        <v>527</v>
      </c>
      <c r="C518" s="226">
        <v>0.6</v>
      </c>
      <c r="D518" s="219">
        <v>31.46</v>
      </c>
      <c r="E518" s="56">
        <f t="shared" si="8"/>
        <v>18.876000000000001</v>
      </c>
    </row>
    <row r="519" spans="2:5" x14ac:dyDescent="0.2">
      <c r="B519" s="11" t="s">
        <v>525</v>
      </c>
      <c r="C519" s="226">
        <v>1</v>
      </c>
      <c r="D519" s="219">
        <v>33.549999999999997</v>
      </c>
      <c r="E519" s="56">
        <f t="shared" si="8"/>
        <v>33.549999999999997</v>
      </c>
    </row>
    <row r="520" spans="2:5" x14ac:dyDescent="0.2">
      <c r="B520" s="59" t="s">
        <v>529</v>
      </c>
      <c r="C520" s="226"/>
      <c r="D520" s="219">
        <v>28.88</v>
      </c>
      <c r="E520" s="56">
        <f t="shared" si="8"/>
        <v>0</v>
      </c>
    </row>
    <row r="521" spans="2:5" x14ac:dyDescent="0.2">
      <c r="B521" s="11" t="s">
        <v>528</v>
      </c>
      <c r="C521" s="226">
        <f>2+0.4</f>
        <v>2.4</v>
      </c>
      <c r="D521" s="219">
        <v>30.46</v>
      </c>
      <c r="E521" s="56">
        <f t="shared" si="8"/>
        <v>73.103999999999999</v>
      </c>
    </row>
    <row r="522" spans="2:5" x14ac:dyDescent="0.2">
      <c r="B522" s="11" t="s">
        <v>530</v>
      </c>
      <c r="C522" s="226"/>
      <c r="D522" s="219">
        <v>30.26</v>
      </c>
      <c r="E522" s="56">
        <f t="shared" si="8"/>
        <v>0</v>
      </c>
    </row>
    <row r="523" spans="2:5" x14ac:dyDescent="0.2">
      <c r="B523" s="11" t="s">
        <v>531</v>
      </c>
      <c r="C523" s="226">
        <v>7</v>
      </c>
      <c r="D523" s="219">
        <v>37</v>
      </c>
      <c r="E523" s="56">
        <f t="shared" si="8"/>
        <v>259</v>
      </c>
    </row>
    <row r="524" spans="2:5" x14ac:dyDescent="0.2">
      <c r="B524" s="59" t="s">
        <v>532</v>
      </c>
      <c r="C524" s="226"/>
      <c r="D524" s="219">
        <v>34</v>
      </c>
      <c r="E524" s="56">
        <f t="shared" si="8"/>
        <v>0</v>
      </c>
    </row>
    <row r="525" spans="2:5" x14ac:dyDescent="0.2">
      <c r="B525" s="59" t="s">
        <v>533</v>
      </c>
      <c r="C525" s="226">
        <v>7</v>
      </c>
      <c r="D525" s="219">
        <v>16.899999999999999</v>
      </c>
      <c r="E525" s="56">
        <f t="shared" si="8"/>
        <v>118.29999999999998</v>
      </c>
    </row>
    <row r="526" spans="2:5" x14ac:dyDescent="0.2">
      <c r="B526" s="11" t="s">
        <v>534</v>
      </c>
      <c r="C526" s="226">
        <v>0.9</v>
      </c>
      <c r="D526" s="219">
        <v>20.170000000000002</v>
      </c>
      <c r="E526" s="56">
        <f t="shared" si="8"/>
        <v>18.153000000000002</v>
      </c>
    </row>
    <row r="527" spans="2:5" x14ac:dyDescent="0.2">
      <c r="B527" s="11" t="s">
        <v>4</v>
      </c>
      <c r="C527" s="226"/>
      <c r="D527" s="219">
        <v>6.4</v>
      </c>
      <c r="E527" s="56">
        <f t="shared" ref="E527:E587" si="9">C527*D527</f>
        <v>0</v>
      </c>
    </row>
    <row r="528" spans="2:5" x14ac:dyDescent="0.2">
      <c r="B528" s="11" t="s">
        <v>189</v>
      </c>
      <c r="C528" s="226"/>
      <c r="D528" s="219">
        <v>30.24</v>
      </c>
      <c r="E528" s="56">
        <f t="shared" si="9"/>
        <v>0</v>
      </c>
    </row>
    <row r="529" spans="2:5" x14ac:dyDescent="0.2">
      <c r="B529" s="58" t="s">
        <v>193</v>
      </c>
      <c r="C529" s="226"/>
      <c r="D529" s="219">
        <v>13.95</v>
      </c>
      <c r="E529" s="56">
        <f t="shared" si="9"/>
        <v>0</v>
      </c>
    </row>
    <row r="530" spans="2:5" x14ac:dyDescent="0.2">
      <c r="B530" s="58" t="s">
        <v>981</v>
      </c>
      <c r="C530" s="226"/>
      <c r="D530" s="219">
        <v>7.2</v>
      </c>
      <c r="E530" s="56">
        <f t="shared" si="9"/>
        <v>0</v>
      </c>
    </row>
    <row r="531" spans="2:5" x14ac:dyDescent="0.2">
      <c r="B531" s="11" t="s">
        <v>535</v>
      </c>
      <c r="C531" s="226">
        <v>9</v>
      </c>
      <c r="D531" s="219">
        <v>6.9</v>
      </c>
      <c r="E531" s="56">
        <f t="shared" si="9"/>
        <v>62.1</v>
      </c>
    </row>
    <row r="532" spans="2:5" x14ac:dyDescent="0.2">
      <c r="B532" s="11" t="s">
        <v>195</v>
      </c>
      <c r="C532" s="226"/>
      <c r="D532" s="219">
        <v>22.63</v>
      </c>
      <c r="E532" s="56">
        <f t="shared" si="9"/>
        <v>0</v>
      </c>
    </row>
    <row r="533" spans="2:5" x14ac:dyDescent="0.2">
      <c r="B533" s="11"/>
      <c r="C533" s="226"/>
      <c r="D533" s="219"/>
      <c r="E533" s="56">
        <f t="shared" si="9"/>
        <v>0</v>
      </c>
    </row>
    <row r="534" spans="2:5" x14ac:dyDescent="0.2">
      <c r="B534" s="59" t="s">
        <v>137</v>
      </c>
      <c r="C534" s="226"/>
      <c r="D534" s="219">
        <v>17.88</v>
      </c>
      <c r="E534" s="56">
        <f t="shared" si="9"/>
        <v>0</v>
      </c>
    </row>
    <row r="535" spans="2:5" x14ac:dyDescent="0.2">
      <c r="B535" s="11" t="s">
        <v>539</v>
      </c>
      <c r="C535" s="226"/>
      <c r="D535" s="219">
        <v>14.13</v>
      </c>
      <c r="E535" s="56">
        <f t="shared" si="9"/>
        <v>0</v>
      </c>
    </row>
    <row r="536" spans="2:5" x14ac:dyDescent="0.2">
      <c r="B536" s="11" t="s">
        <v>540</v>
      </c>
      <c r="C536" s="226">
        <f>1+0.6</f>
        <v>1.6</v>
      </c>
      <c r="D536" s="219">
        <v>15.46</v>
      </c>
      <c r="E536" s="56">
        <f t="shared" si="9"/>
        <v>24.736000000000004</v>
      </c>
    </row>
    <row r="537" spans="2:5" x14ac:dyDescent="0.2">
      <c r="B537" s="11" t="s">
        <v>545</v>
      </c>
      <c r="C537" s="226">
        <v>1</v>
      </c>
      <c r="D537" s="219">
        <v>16.239999999999998</v>
      </c>
      <c r="E537" s="56">
        <f t="shared" si="9"/>
        <v>16.239999999999998</v>
      </c>
    </row>
    <row r="538" spans="2:5" x14ac:dyDescent="0.2">
      <c r="B538" s="11" t="s">
        <v>1319</v>
      </c>
      <c r="C538" s="226">
        <v>4</v>
      </c>
      <c r="D538" s="219">
        <v>11</v>
      </c>
      <c r="E538" s="56">
        <f t="shared" si="9"/>
        <v>44</v>
      </c>
    </row>
    <row r="539" spans="2:5" x14ac:dyDescent="0.2">
      <c r="B539" s="11" t="s">
        <v>893</v>
      </c>
      <c r="C539" s="226"/>
      <c r="D539" s="219">
        <v>23</v>
      </c>
      <c r="E539" s="56">
        <f t="shared" si="9"/>
        <v>0</v>
      </c>
    </row>
    <row r="540" spans="2:5" x14ac:dyDescent="0.2">
      <c r="B540" s="59" t="s">
        <v>543</v>
      </c>
      <c r="C540" s="226">
        <v>1.5</v>
      </c>
      <c r="D540" s="219">
        <v>20.29</v>
      </c>
      <c r="E540" s="56">
        <f t="shared" si="9"/>
        <v>30.434999999999999</v>
      </c>
    </row>
    <row r="541" spans="2:5" x14ac:dyDescent="0.2">
      <c r="B541" s="59" t="s">
        <v>544</v>
      </c>
      <c r="C541" s="226"/>
      <c r="D541" s="219">
        <v>25.82</v>
      </c>
      <c r="E541" s="56">
        <f t="shared" si="9"/>
        <v>0</v>
      </c>
    </row>
    <row r="542" spans="2:5" x14ac:dyDescent="0.2">
      <c r="B542" s="23" t="s">
        <v>844</v>
      </c>
      <c r="C542" s="226"/>
      <c r="D542" s="223">
        <v>5.12</v>
      </c>
      <c r="E542" s="56">
        <f t="shared" si="9"/>
        <v>0</v>
      </c>
    </row>
    <row r="543" spans="2:5" x14ac:dyDescent="0.2">
      <c r="B543" s="59" t="s">
        <v>547</v>
      </c>
      <c r="C543" s="226"/>
      <c r="D543" s="219">
        <v>43.2</v>
      </c>
      <c r="E543" s="56">
        <f t="shared" si="9"/>
        <v>0</v>
      </c>
    </row>
    <row r="544" spans="2:5" x14ac:dyDescent="0.2">
      <c r="B544" s="59" t="s">
        <v>70</v>
      </c>
      <c r="C544" s="226"/>
      <c r="D544" s="219">
        <v>21.15</v>
      </c>
      <c r="E544" s="56">
        <f t="shared" si="9"/>
        <v>0</v>
      </c>
    </row>
    <row r="545" spans="1:5" x14ac:dyDescent="0.2">
      <c r="B545" s="59" t="s">
        <v>1320</v>
      </c>
      <c r="C545" s="226">
        <v>1</v>
      </c>
      <c r="D545" s="219">
        <v>14</v>
      </c>
      <c r="E545" s="56">
        <f t="shared" si="9"/>
        <v>14</v>
      </c>
    </row>
    <row r="546" spans="1:5" x14ac:dyDescent="0.2">
      <c r="B546" s="59" t="s">
        <v>72</v>
      </c>
      <c r="C546" s="226">
        <v>0.4</v>
      </c>
      <c r="D546" s="219">
        <v>50.04</v>
      </c>
      <c r="E546" s="56">
        <f t="shared" si="9"/>
        <v>20.016000000000002</v>
      </c>
    </row>
    <row r="547" spans="1:5" x14ac:dyDescent="0.2">
      <c r="B547" s="59" t="s">
        <v>73</v>
      </c>
      <c r="C547" s="226">
        <v>0.1</v>
      </c>
      <c r="D547" s="219">
        <v>33.89</v>
      </c>
      <c r="E547" s="56">
        <f t="shared" si="9"/>
        <v>3.3890000000000002</v>
      </c>
    </row>
    <row r="548" spans="1:5" x14ac:dyDescent="0.2">
      <c r="B548" s="59" t="s">
        <v>150</v>
      </c>
      <c r="C548" s="226"/>
      <c r="D548" s="219">
        <v>39.119999999999997</v>
      </c>
      <c r="E548" s="56">
        <f t="shared" si="9"/>
        <v>0</v>
      </c>
    </row>
    <row r="549" spans="1:5" x14ac:dyDescent="0.2">
      <c r="B549" s="58" t="s">
        <v>978</v>
      </c>
      <c r="C549" s="226"/>
      <c r="D549" s="219">
        <v>29.14</v>
      </c>
      <c r="E549" s="56">
        <f t="shared" si="9"/>
        <v>0</v>
      </c>
    </row>
    <row r="550" spans="1:5" x14ac:dyDescent="0.2">
      <c r="B550" s="58" t="s">
        <v>977</v>
      </c>
      <c r="C550" s="226">
        <f>1+0.5</f>
        <v>1.5</v>
      </c>
      <c r="D550" s="219">
        <v>9.64</v>
      </c>
      <c r="E550" s="56">
        <f t="shared" si="9"/>
        <v>14.46</v>
      </c>
    </row>
    <row r="551" spans="1:5" x14ac:dyDescent="0.2">
      <c r="B551" s="59" t="s">
        <v>551</v>
      </c>
      <c r="C551" s="226"/>
      <c r="D551" s="219">
        <v>23.44</v>
      </c>
      <c r="E551" s="56">
        <f t="shared" si="9"/>
        <v>0</v>
      </c>
    </row>
    <row r="552" spans="1:5" x14ac:dyDescent="0.2">
      <c r="B552" s="23" t="s">
        <v>880</v>
      </c>
      <c r="C552" s="226">
        <v>0.9</v>
      </c>
      <c r="D552" s="223">
        <v>27.35</v>
      </c>
      <c r="E552" s="56">
        <f t="shared" si="9"/>
        <v>24.615000000000002</v>
      </c>
    </row>
    <row r="553" spans="1:5" x14ac:dyDescent="0.2">
      <c r="B553" s="11" t="s">
        <v>154</v>
      </c>
      <c r="C553" s="226"/>
      <c r="D553" s="219">
        <v>34.590000000000003</v>
      </c>
      <c r="E553" s="56">
        <f t="shared" si="9"/>
        <v>0</v>
      </c>
    </row>
    <row r="554" spans="1:5" x14ac:dyDescent="0.2">
      <c r="B554" s="59" t="s">
        <v>78</v>
      </c>
      <c r="C554" s="226"/>
      <c r="D554" s="219">
        <v>43.73</v>
      </c>
      <c r="E554" s="56">
        <f t="shared" si="9"/>
        <v>0</v>
      </c>
    </row>
    <row r="555" spans="1:5" x14ac:dyDescent="0.2">
      <c r="A555" t="s">
        <v>1249</v>
      </c>
      <c r="B555" s="59" t="s">
        <v>549</v>
      </c>
      <c r="C555" s="226">
        <v>0.4</v>
      </c>
      <c r="D555" s="219">
        <v>37.78</v>
      </c>
      <c r="E555" s="56">
        <f t="shared" si="9"/>
        <v>15.112000000000002</v>
      </c>
    </row>
    <row r="556" spans="1:5" x14ac:dyDescent="0.2">
      <c r="B556" s="59" t="s">
        <v>199</v>
      </c>
      <c r="C556" s="226"/>
      <c r="D556" s="219">
        <v>82.59</v>
      </c>
      <c r="E556" s="56">
        <f t="shared" si="9"/>
        <v>0</v>
      </c>
    </row>
    <row r="557" spans="1:5" x14ac:dyDescent="0.2">
      <c r="B557" s="59" t="s">
        <v>550</v>
      </c>
      <c r="C557" s="226"/>
      <c r="D557" s="219">
        <v>45.14</v>
      </c>
      <c r="E557" s="56">
        <f t="shared" si="9"/>
        <v>0</v>
      </c>
    </row>
    <row r="558" spans="1:5" x14ac:dyDescent="0.2">
      <c r="B558" s="59" t="s">
        <v>155</v>
      </c>
      <c r="C558" s="226"/>
      <c r="D558" s="219">
        <v>36.76</v>
      </c>
      <c r="E558" s="56">
        <f t="shared" si="9"/>
        <v>0</v>
      </c>
    </row>
    <row r="559" spans="1:5" x14ac:dyDescent="0.2">
      <c r="B559" s="23" t="s">
        <v>156</v>
      </c>
      <c r="C559" s="226"/>
      <c r="D559" s="219">
        <v>26</v>
      </c>
      <c r="E559" s="56">
        <f t="shared" si="9"/>
        <v>0</v>
      </c>
    </row>
    <row r="560" spans="1:5" x14ac:dyDescent="0.2">
      <c r="B560" s="59" t="s">
        <v>1251</v>
      </c>
      <c r="C560" s="226">
        <v>2</v>
      </c>
      <c r="D560" s="219">
        <v>500</v>
      </c>
      <c r="E560" s="56">
        <f t="shared" si="9"/>
        <v>1000</v>
      </c>
    </row>
    <row r="561" spans="2:5" x14ac:dyDescent="0.2">
      <c r="B561" s="23" t="s">
        <v>851</v>
      </c>
      <c r="C561" s="226">
        <v>8</v>
      </c>
      <c r="D561" s="219">
        <v>56.84</v>
      </c>
      <c r="E561" s="56">
        <f t="shared" si="9"/>
        <v>454.72</v>
      </c>
    </row>
    <row r="562" spans="2:5" x14ac:dyDescent="0.2">
      <c r="B562" s="59" t="s">
        <v>79</v>
      </c>
      <c r="C562" s="226">
        <v>1</v>
      </c>
      <c r="D562" s="219">
        <v>38.17</v>
      </c>
      <c r="E562" s="56">
        <f t="shared" si="9"/>
        <v>38.17</v>
      </c>
    </row>
    <row r="563" spans="2:5" x14ac:dyDescent="0.2">
      <c r="B563" s="59" t="s">
        <v>157</v>
      </c>
      <c r="C563" s="226"/>
      <c r="D563" s="219">
        <v>26.91</v>
      </c>
      <c r="E563" s="56">
        <f t="shared" si="9"/>
        <v>0</v>
      </c>
    </row>
    <row r="564" spans="2:5" x14ac:dyDescent="0.2">
      <c r="B564" s="59" t="s">
        <v>555</v>
      </c>
      <c r="C564" s="226">
        <f>1+1</f>
        <v>2</v>
      </c>
      <c r="D564" s="219">
        <v>15.62</v>
      </c>
      <c r="E564" s="56">
        <f t="shared" si="9"/>
        <v>31.24</v>
      </c>
    </row>
    <row r="565" spans="2:5" x14ac:dyDescent="0.2">
      <c r="B565" s="59" t="s">
        <v>556</v>
      </c>
      <c r="C565" s="226"/>
      <c r="D565" s="219">
        <v>16.18</v>
      </c>
      <c r="E565" s="56">
        <f t="shared" si="9"/>
        <v>0</v>
      </c>
    </row>
    <row r="566" spans="2:5" x14ac:dyDescent="0.2">
      <c r="B566" s="59" t="s">
        <v>554</v>
      </c>
      <c r="C566" s="226"/>
      <c r="D566" s="219">
        <v>17.37</v>
      </c>
      <c r="E566" s="56">
        <f t="shared" si="9"/>
        <v>0</v>
      </c>
    </row>
    <row r="567" spans="2:5" x14ac:dyDescent="0.2">
      <c r="B567" s="59" t="s">
        <v>557</v>
      </c>
      <c r="C567" s="226"/>
      <c r="D567" s="219">
        <v>17.8</v>
      </c>
      <c r="E567" s="56">
        <f t="shared" si="9"/>
        <v>0</v>
      </c>
    </row>
    <row r="568" spans="2:5" x14ac:dyDescent="0.2">
      <c r="B568" s="59" t="s">
        <v>827</v>
      </c>
      <c r="C568" s="226"/>
      <c r="D568" s="219">
        <v>25</v>
      </c>
      <c r="E568" s="56">
        <f t="shared" si="9"/>
        <v>0</v>
      </c>
    </row>
    <row r="569" spans="2:5" x14ac:dyDescent="0.2">
      <c r="B569" s="11" t="s">
        <v>559</v>
      </c>
      <c r="C569" s="226">
        <v>0.4</v>
      </c>
      <c r="D569" s="219">
        <v>12.44</v>
      </c>
      <c r="E569" s="56">
        <f t="shared" si="9"/>
        <v>4.976</v>
      </c>
    </row>
    <row r="570" spans="2:5" x14ac:dyDescent="0.2">
      <c r="B570" s="59" t="s">
        <v>558</v>
      </c>
      <c r="C570" s="226"/>
      <c r="D570" s="219">
        <v>14.06</v>
      </c>
      <c r="E570" s="56">
        <f t="shared" si="9"/>
        <v>0</v>
      </c>
    </row>
    <row r="571" spans="2:5" x14ac:dyDescent="0.2">
      <c r="B571" s="11" t="s">
        <v>832</v>
      </c>
      <c r="C571" s="226"/>
      <c r="D571" s="219">
        <v>30</v>
      </c>
      <c r="E571" s="56">
        <f t="shared" si="9"/>
        <v>0</v>
      </c>
    </row>
    <row r="572" spans="2:5" x14ac:dyDescent="0.2">
      <c r="B572" s="59" t="s">
        <v>571</v>
      </c>
      <c r="C572" s="226">
        <f>1.6+2</f>
        <v>3.6</v>
      </c>
      <c r="D572" s="219">
        <v>21.096</v>
      </c>
      <c r="E572" s="56">
        <f t="shared" si="9"/>
        <v>75.945599999999999</v>
      </c>
    </row>
    <row r="573" spans="2:5" x14ac:dyDescent="0.2">
      <c r="B573" s="59" t="s">
        <v>573</v>
      </c>
      <c r="C573" s="226">
        <v>0.8</v>
      </c>
      <c r="D573" s="219">
        <v>143.96</v>
      </c>
      <c r="E573" s="56">
        <f t="shared" si="9"/>
        <v>115.16800000000001</v>
      </c>
    </row>
    <row r="574" spans="2:5" x14ac:dyDescent="0.2">
      <c r="B574" s="59" t="s">
        <v>572</v>
      </c>
      <c r="C574" s="226"/>
      <c r="D574" s="219">
        <v>186.65</v>
      </c>
      <c r="E574" s="56">
        <f t="shared" si="9"/>
        <v>0</v>
      </c>
    </row>
    <row r="575" spans="2:5" x14ac:dyDescent="0.2">
      <c r="B575" s="11" t="s">
        <v>1241</v>
      </c>
      <c r="C575" s="226"/>
      <c r="D575" s="219">
        <v>224.79</v>
      </c>
      <c r="E575" s="56">
        <f t="shared" si="9"/>
        <v>0</v>
      </c>
    </row>
    <row r="576" spans="2:5" x14ac:dyDescent="0.2">
      <c r="B576" s="11" t="s">
        <v>561</v>
      </c>
      <c r="C576" s="226"/>
      <c r="D576" s="219">
        <v>224.79</v>
      </c>
      <c r="E576" s="56">
        <f t="shared" si="9"/>
        <v>0</v>
      </c>
    </row>
    <row r="577" spans="2:5" x14ac:dyDescent="0.2">
      <c r="B577" s="11" t="s">
        <v>570</v>
      </c>
      <c r="C577" s="226"/>
      <c r="D577" s="219">
        <v>24.08</v>
      </c>
      <c r="E577" s="56">
        <f t="shared" si="9"/>
        <v>0</v>
      </c>
    </row>
    <row r="578" spans="2:5" x14ac:dyDescent="0.2">
      <c r="B578" s="11" t="s">
        <v>564</v>
      </c>
      <c r="C578" s="226"/>
      <c r="D578" s="219">
        <v>66.739999999999995</v>
      </c>
      <c r="E578" s="56">
        <f t="shared" si="9"/>
        <v>0</v>
      </c>
    </row>
    <row r="579" spans="2:5" x14ac:dyDescent="0.2">
      <c r="B579" s="11" t="s">
        <v>565</v>
      </c>
      <c r="C579" s="226"/>
      <c r="D579" s="219">
        <v>66.739999999999995</v>
      </c>
      <c r="E579" s="56">
        <f t="shared" si="9"/>
        <v>0</v>
      </c>
    </row>
    <row r="580" spans="2:5" x14ac:dyDescent="0.2">
      <c r="B580" s="11" t="s">
        <v>566</v>
      </c>
      <c r="C580" s="226"/>
      <c r="D580" s="219">
        <v>66.739999999999995</v>
      </c>
      <c r="E580" s="56">
        <f t="shared" si="9"/>
        <v>0</v>
      </c>
    </row>
    <row r="581" spans="2:5" x14ac:dyDescent="0.2">
      <c r="B581" s="11" t="s">
        <v>567</v>
      </c>
      <c r="C581" s="226"/>
      <c r="D581" s="219">
        <v>66.739999999999995</v>
      </c>
      <c r="E581" s="56">
        <f t="shared" si="9"/>
        <v>0</v>
      </c>
    </row>
    <row r="582" spans="2:5" x14ac:dyDescent="0.2">
      <c r="B582" s="11" t="s">
        <v>568</v>
      </c>
      <c r="C582" s="226"/>
      <c r="D582" s="219">
        <v>66.739999999999995</v>
      </c>
      <c r="E582" s="56">
        <f t="shared" si="9"/>
        <v>0</v>
      </c>
    </row>
    <row r="583" spans="2:5" x14ac:dyDescent="0.2">
      <c r="B583" s="11" t="s">
        <v>569</v>
      </c>
      <c r="C583" s="226"/>
      <c r="D583" s="219">
        <v>66.739999999999995</v>
      </c>
      <c r="E583" s="56">
        <f t="shared" si="9"/>
        <v>0</v>
      </c>
    </row>
    <row r="584" spans="2:5" x14ac:dyDescent="0.2">
      <c r="B584" s="11" t="s">
        <v>562</v>
      </c>
      <c r="C584" s="226"/>
      <c r="D584" s="219"/>
      <c r="E584" s="56">
        <f t="shared" si="9"/>
        <v>0</v>
      </c>
    </row>
    <row r="585" spans="2:5" x14ac:dyDescent="0.2">
      <c r="B585" s="11" t="s">
        <v>563</v>
      </c>
      <c r="C585" s="226"/>
      <c r="D585" s="219"/>
      <c r="E585" s="56">
        <f t="shared" si="9"/>
        <v>0</v>
      </c>
    </row>
    <row r="586" spans="2:5" x14ac:dyDescent="0.2">
      <c r="B586" s="59" t="s">
        <v>950</v>
      </c>
      <c r="C586" s="226">
        <v>0.8</v>
      </c>
      <c r="D586" s="219">
        <v>35</v>
      </c>
      <c r="E586" s="56">
        <f t="shared" si="9"/>
        <v>28</v>
      </c>
    </row>
    <row r="587" spans="2:5" x14ac:dyDescent="0.2">
      <c r="B587" s="59" t="s">
        <v>201</v>
      </c>
      <c r="C587" s="226">
        <f>2+0.5</f>
        <v>2.5</v>
      </c>
      <c r="D587" s="219">
        <v>26.38</v>
      </c>
      <c r="E587" s="56">
        <f t="shared" si="9"/>
        <v>65.95</v>
      </c>
    </row>
    <row r="588" spans="2:5" x14ac:dyDescent="0.2">
      <c r="B588" s="59" t="s">
        <v>158</v>
      </c>
      <c r="C588" s="226">
        <v>2</v>
      </c>
      <c r="D588" s="219">
        <v>54.28</v>
      </c>
      <c r="E588" s="56">
        <f t="shared" ref="E588:E616" si="10">C588*D588</f>
        <v>108.56</v>
      </c>
    </row>
    <row r="589" spans="2:5" x14ac:dyDescent="0.2">
      <c r="B589" s="59" t="s">
        <v>576</v>
      </c>
      <c r="C589" s="226">
        <f>2+0.1</f>
        <v>2.1</v>
      </c>
      <c r="D589" s="219">
        <v>53.18</v>
      </c>
      <c r="E589" s="56">
        <f t="shared" si="10"/>
        <v>111.678</v>
      </c>
    </row>
    <row r="590" spans="2:5" x14ac:dyDescent="0.2">
      <c r="B590" s="11" t="s">
        <v>575</v>
      </c>
      <c r="C590" s="226"/>
      <c r="D590" s="219">
        <v>55.06</v>
      </c>
      <c r="E590" s="56">
        <f t="shared" si="10"/>
        <v>0</v>
      </c>
    </row>
    <row r="591" spans="2:5" x14ac:dyDescent="0.2">
      <c r="B591" s="59" t="s">
        <v>870</v>
      </c>
      <c r="C591" s="226">
        <v>1</v>
      </c>
      <c r="D591" s="219">
        <v>18</v>
      </c>
      <c r="E591" s="56">
        <f t="shared" si="10"/>
        <v>18</v>
      </c>
    </row>
    <row r="592" spans="2:5" x14ac:dyDescent="0.2">
      <c r="B592" s="59" t="s">
        <v>164</v>
      </c>
      <c r="C592" s="226"/>
      <c r="D592" s="219">
        <v>32.49</v>
      </c>
      <c r="E592" s="56">
        <f t="shared" si="10"/>
        <v>0</v>
      </c>
    </row>
    <row r="593" spans="1:5" x14ac:dyDescent="0.2">
      <c r="B593" s="59" t="s">
        <v>165</v>
      </c>
      <c r="C593" s="226"/>
      <c r="D593" s="219">
        <v>69.69</v>
      </c>
      <c r="E593" s="56">
        <f t="shared" si="10"/>
        <v>0</v>
      </c>
    </row>
    <row r="594" spans="1:5" x14ac:dyDescent="0.2">
      <c r="B594" s="11" t="s">
        <v>174</v>
      </c>
      <c r="C594" s="226"/>
      <c r="D594" s="219">
        <v>9.39</v>
      </c>
      <c r="E594" s="56">
        <f t="shared" si="10"/>
        <v>0</v>
      </c>
    </row>
    <row r="595" spans="1:5" x14ac:dyDescent="0.2">
      <c r="B595" s="61" t="s">
        <v>546</v>
      </c>
      <c r="C595" s="226">
        <v>2</v>
      </c>
      <c r="D595" s="219">
        <v>24.31</v>
      </c>
      <c r="E595" s="56">
        <f t="shared" si="10"/>
        <v>48.62</v>
      </c>
    </row>
    <row r="596" spans="1:5" x14ac:dyDescent="0.2">
      <c r="B596" s="58" t="s">
        <v>177</v>
      </c>
      <c r="C596" s="226">
        <v>1</v>
      </c>
      <c r="D596" s="219">
        <v>42.5</v>
      </c>
      <c r="E596" s="56">
        <f t="shared" si="10"/>
        <v>42.5</v>
      </c>
    </row>
    <row r="597" spans="1:5" x14ac:dyDescent="0.2">
      <c r="B597" s="58" t="s">
        <v>577</v>
      </c>
      <c r="C597" s="226"/>
      <c r="D597" s="219">
        <v>20</v>
      </c>
      <c r="E597" s="56">
        <f t="shared" si="10"/>
        <v>0</v>
      </c>
    </row>
    <row r="598" spans="1:5" x14ac:dyDescent="0.2">
      <c r="B598" s="11" t="s">
        <v>536</v>
      </c>
      <c r="C598" s="226"/>
      <c r="D598" s="219">
        <v>38.44</v>
      </c>
      <c r="E598" s="56">
        <f t="shared" si="10"/>
        <v>0</v>
      </c>
    </row>
    <row r="599" spans="1:5" x14ac:dyDescent="0.2">
      <c r="B599" s="59" t="s">
        <v>190</v>
      </c>
      <c r="C599" s="226"/>
      <c r="D599" s="219">
        <v>73.75</v>
      </c>
      <c r="E599" s="56">
        <f t="shared" si="10"/>
        <v>0</v>
      </c>
    </row>
    <row r="600" spans="1:5" x14ac:dyDescent="0.2">
      <c r="A600" s="204"/>
      <c r="B600" s="59" t="s">
        <v>83</v>
      </c>
      <c r="C600" s="226"/>
      <c r="D600" s="219">
        <v>36.64</v>
      </c>
      <c r="E600" s="56">
        <f t="shared" si="10"/>
        <v>0</v>
      </c>
    </row>
    <row r="601" spans="1:5" x14ac:dyDescent="0.2">
      <c r="A601" s="204"/>
      <c r="B601" s="59" t="s">
        <v>861</v>
      </c>
      <c r="C601" s="226"/>
      <c r="D601" s="219">
        <v>70</v>
      </c>
      <c r="E601" s="56">
        <f t="shared" si="10"/>
        <v>0</v>
      </c>
    </row>
    <row r="602" spans="1:5" x14ac:dyDescent="0.2">
      <c r="A602" s="204"/>
      <c r="B602" s="59" t="s">
        <v>1288</v>
      </c>
      <c r="C602" s="226"/>
      <c r="D602" s="219">
        <v>21.92</v>
      </c>
      <c r="E602" s="56">
        <f t="shared" si="10"/>
        <v>0</v>
      </c>
    </row>
    <row r="603" spans="1:5" x14ac:dyDescent="0.2">
      <c r="A603" s="204"/>
      <c r="B603" s="23" t="s">
        <v>1248</v>
      </c>
      <c r="C603" s="226"/>
      <c r="D603" s="223"/>
      <c r="E603" s="56">
        <f>C603*D603</f>
        <v>0</v>
      </c>
    </row>
    <row r="604" spans="1:5" x14ac:dyDescent="0.2">
      <c r="A604" s="204"/>
      <c r="B604" s="23" t="s">
        <v>1017</v>
      </c>
      <c r="C604" s="230"/>
      <c r="D604" s="222">
        <v>10.76</v>
      </c>
      <c r="E604" s="56">
        <f>C604*D604</f>
        <v>0</v>
      </c>
    </row>
    <row r="605" spans="1:5" x14ac:dyDescent="0.2">
      <c r="A605" s="204"/>
      <c r="B605" s="23"/>
      <c r="C605" s="230"/>
      <c r="D605" s="222"/>
      <c r="E605" s="56"/>
    </row>
    <row r="606" spans="1:5" x14ac:dyDescent="0.2">
      <c r="B606" s="23" t="s">
        <v>1225</v>
      </c>
      <c r="C606" s="230"/>
      <c r="D606" s="222">
        <v>17.2</v>
      </c>
      <c r="E606" s="56">
        <f t="shared" si="10"/>
        <v>0</v>
      </c>
    </row>
    <row r="607" spans="1:5" x14ac:dyDescent="0.2">
      <c r="B607" s="23" t="s">
        <v>1257</v>
      </c>
      <c r="C607" s="230"/>
      <c r="D607" s="222">
        <v>17</v>
      </c>
      <c r="E607" s="56">
        <f t="shared" si="10"/>
        <v>0</v>
      </c>
    </row>
    <row r="608" spans="1:5" x14ac:dyDescent="0.2">
      <c r="B608" s="23" t="s">
        <v>1018</v>
      </c>
      <c r="C608" s="230">
        <v>2</v>
      </c>
      <c r="D608" s="222">
        <v>17.2</v>
      </c>
      <c r="E608" s="56">
        <f t="shared" si="10"/>
        <v>34.4</v>
      </c>
    </row>
    <row r="609" spans="2:5" x14ac:dyDescent="0.2">
      <c r="B609" s="23" t="s">
        <v>989</v>
      </c>
      <c r="C609" s="230"/>
      <c r="D609" s="222">
        <v>9</v>
      </c>
      <c r="E609" s="56">
        <f t="shared" si="10"/>
        <v>0</v>
      </c>
    </row>
    <row r="610" spans="2:5" x14ac:dyDescent="0.2">
      <c r="B610" s="23" t="s">
        <v>990</v>
      </c>
      <c r="C610" s="230">
        <v>0.5</v>
      </c>
      <c r="D610" s="222">
        <v>17</v>
      </c>
      <c r="E610" s="56">
        <f t="shared" si="10"/>
        <v>8.5</v>
      </c>
    </row>
    <row r="611" spans="2:5" x14ac:dyDescent="0.2">
      <c r="B611" s="23" t="s">
        <v>996</v>
      </c>
      <c r="C611" s="230"/>
      <c r="D611" s="222">
        <v>36.700000000000003</v>
      </c>
      <c r="E611" s="56">
        <f t="shared" si="10"/>
        <v>0</v>
      </c>
    </row>
    <row r="612" spans="2:5" x14ac:dyDescent="0.2">
      <c r="B612" s="23" t="s">
        <v>1255</v>
      </c>
      <c r="C612" s="230">
        <v>1</v>
      </c>
      <c r="D612" s="222">
        <v>9</v>
      </c>
      <c r="E612" s="56">
        <f t="shared" si="10"/>
        <v>9</v>
      </c>
    </row>
    <row r="613" spans="2:5" x14ac:dyDescent="0.2">
      <c r="B613" s="23" t="s">
        <v>1004</v>
      </c>
      <c r="C613" s="230"/>
      <c r="D613" s="222">
        <v>9</v>
      </c>
      <c r="E613" s="56">
        <f t="shared" si="10"/>
        <v>0</v>
      </c>
    </row>
    <row r="614" spans="2:5" x14ac:dyDescent="0.2">
      <c r="B614" s="23" t="s">
        <v>1005</v>
      </c>
      <c r="C614" s="230"/>
      <c r="D614" s="222">
        <v>9</v>
      </c>
      <c r="E614" s="56">
        <f>C614*D614</f>
        <v>0</v>
      </c>
    </row>
    <row r="615" spans="2:5" x14ac:dyDescent="0.2">
      <c r="B615" s="23" t="s">
        <v>1006</v>
      </c>
      <c r="C615" s="230"/>
      <c r="D615" s="222">
        <v>9</v>
      </c>
      <c r="E615" s="56">
        <f t="shared" si="10"/>
        <v>0</v>
      </c>
    </row>
    <row r="616" spans="2:5" x14ac:dyDescent="0.2">
      <c r="B616" s="23" t="s">
        <v>1007</v>
      </c>
      <c r="C616" s="230"/>
      <c r="D616" s="222">
        <v>9</v>
      </c>
      <c r="E616" s="56">
        <f t="shared" si="10"/>
        <v>0</v>
      </c>
    </row>
    <row r="618" spans="2:5" x14ac:dyDescent="0.2">
      <c r="E618" s="218" t="e">
        <f>SUM(E3:E616)+'Stock producciones'!F90</f>
        <v>#VALUE!</v>
      </c>
    </row>
  </sheetData>
  <sortState xmlns:xlrd2="http://schemas.microsoft.com/office/spreadsheetml/2017/richdata2" ref="B534:E601">
    <sortCondition ref="B601"/>
  </sortState>
  <conditionalFormatting sqref="B129:B130">
    <cfRule type="duplicateValues" dxfId="7" priority="3"/>
  </conditionalFormatting>
  <conditionalFormatting sqref="B131:B177 B25:B128">
    <cfRule type="duplicateValues" dxfId="6" priority="20"/>
  </conditionalFormatting>
  <conditionalFormatting sqref="B226">
    <cfRule type="duplicateValues" dxfId="5" priority="1"/>
  </conditionalFormatting>
  <conditionalFormatting sqref="B311:B424 B186:B225 B227:B297">
    <cfRule type="duplicateValues" dxfId="4" priority="33"/>
  </conditionalFormatting>
  <conditionalFormatting sqref="B450:B524 B437:B448">
    <cfRule type="duplicateValues" dxfId="3" priority="43"/>
  </conditionalFormatting>
  <conditionalFormatting sqref="B548:B592">
    <cfRule type="duplicateValues" dxfId="2" priority="5"/>
  </conditionalFormatting>
  <conditionalFormatting sqref="B595:B600">
    <cfRule type="duplicateValues" dxfId="1" priority="6"/>
  </conditionalFormatting>
  <conditionalFormatting sqref="B185:C185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outlinePr summaryBelow="0" summaryRight="0"/>
  </sheetPr>
  <dimension ref="A1:S669"/>
  <sheetViews>
    <sheetView topLeftCell="A66" zoomScaleSheetLayoutView="90" workbookViewId="0">
      <selection activeCell="F17" sqref="F17"/>
    </sheetView>
  </sheetViews>
  <sheetFormatPr defaultColWidth="12.74609375" defaultRowHeight="15" customHeight="1" x14ac:dyDescent="0.15"/>
  <cols>
    <col min="1" max="1" width="7.4765625" style="6" customWidth="1"/>
    <col min="2" max="2" width="29.17578125" bestFit="1" customWidth="1"/>
    <col min="3" max="3" width="12.74609375" style="3"/>
    <col min="5" max="5" width="24.640625" style="2" bestFit="1" customWidth="1"/>
    <col min="6" max="6" width="11.15234375" customWidth="1"/>
    <col min="9" max="9" width="4.53515625" customWidth="1"/>
    <col min="10" max="10" width="24.1484375" bestFit="1" customWidth="1"/>
    <col min="11" max="11" width="12.01171875" bestFit="1" customWidth="1"/>
    <col min="12" max="12" width="9.55859375" bestFit="1" customWidth="1"/>
    <col min="13" max="13" width="11.15234375" bestFit="1" customWidth="1"/>
    <col min="14" max="14" width="10.6640625" bestFit="1" customWidth="1"/>
    <col min="15" max="15" width="8.82421875" bestFit="1" customWidth="1"/>
    <col min="16" max="16" width="9.68359375" bestFit="1" customWidth="1"/>
    <col min="17" max="17" width="11.27734375" bestFit="1" customWidth="1"/>
    <col min="18" max="18" width="9.68359375" bestFit="1" customWidth="1"/>
    <col min="19" max="19" width="11.15234375" bestFit="1" customWidth="1"/>
  </cols>
  <sheetData>
    <row r="1" spans="1:19" ht="15" customHeight="1" x14ac:dyDescent="0.2">
      <c r="B1" s="30"/>
      <c r="C1" s="31"/>
      <c r="D1" s="30"/>
      <c r="E1" s="32"/>
      <c r="F1" s="30"/>
      <c r="G1" s="30"/>
      <c r="H1" s="30"/>
      <c r="I1" s="30"/>
      <c r="J1" s="45" t="s">
        <v>35</v>
      </c>
      <c r="K1" s="30"/>
      <c r="L1" s="30"/>
      <c r="M1" s="30"/>
      <c r="N1" s="30"/>
      <c r="O1" s="30"/>
      <c r="P1" s="30"/>
      <c r="Q1" s="30"/>
      <c r="R1" s="30"/>
      <c r="S1" s="30"/>
    </row>
    <row r="2" spans="1:19" s="3" customFormat="1" x14ac:dyDescent="0.2">
      <c r="A2" s="6"/>
      <c r="B2" s="238" t="s">
        <v>32</v>
      </c>
      <c r="C2" s="238"/>
      <c r="D2" s="238"/>
      <c r="E2" s="238"/>
      <c r="F2" s="238"/>
      <c r="G2" s="31"/>
      <c r="H2" s="31"/>
      <c r="I2" s="31"/>
      <c r="J2" s="7" t="s">
        <v>45</v>
      </c>
      <c r="K2" s="8">
        <v>10</v>
      </c>
      <c r="L2" s="8">
        <v>700</v>
      </c>
      <c r="M2" s="29">
        <f>'Productos-precio'!D16</f>
        <v>11.16</v>
      </c>
      <c r="N2" s="29">
        <f>(M2*K2)/L2</f>
        <v>0.15942857142857142</v>
      </c>
      <c r="O2" s="31"/>
      <c r="P2" s="31"/>
      <c r="Q2" s="31"/>
      <c r="R2" s="31"/>
      <c r="S2" s="31"/>
    </row>
    <row r="3" spans="1:19" x14ac:dyDescent="0.2">
      <c r="B3" s="33"/>
      <c r="C3" s="34"/>
      <c r="D3" s="34"/>
      <c r="E3" s="33"/>
      <c r="F3" s="33"/>
      <c r="G3" s="30"/>
      <c r="H3" s="30"/>
      <c r="I3" s="30"/>
      <c r="J3" s="7" t="s">
        <v>12</v>
      </c>
      <c r="K3" s="8">
        <v>30</v>
      </c>
      <c r="L3" s="8">
        <v>1000</v>
      </c>
      <c r="M3" s="29">
        <f>'Productos-precio'!D135</f>
        <v>13.04</v>
      </c>
      <c r="N3" s="29">
        <f t="shared" ref="N3:N5" si="0">(M3*K3)/L3</f>
        <v>0.39119999999999999</v>
      </c>
      <c r="O3" s="30"/>
      <c r="P3" s="31"/>
      <c r="Q3" s="31"/>
      <c r="R3" s="31"/>
      <c r="S3" s="31"/>
    </row>
    <row r="4" spans="1:19" x14ac:dyDescent="0.2">
      <c r="B4" s="35" t="s">
        <v>33</v>
      </c>
      <c r="C4" s="36" t="s">
        <v>117</v>
      </c>
      <c r="D4" s="36"/>
      <c r="E4" s="35" t="s">
        <v>34</v>
      </c>
      <c r="F4" s="35" t="s">
        <v>1</v>
      </c>
      <c r="G4" s="30"/>
      <c r="H4" s="30"/>
      <c r="I4" s="30"/>
      <c r="J4" s="7" t="s">
        <v>46</v>
      </c>
      <c r="K4" s="8">
        <v>20</v>
      </c>
      <c r="L4" s="8">
        <v>1000</v>
      </c>
      <c r="M4" s="29">
        <f>'Productos-precio'!D365</f>
        <v>9.2200000000000006</v>
      </c>
      <c r="N4" s="29">
        <f t="shared" si="0"/>
        <v>0.18440000000000001</v>
      </c>
      <c r="O4" s="30"/>
      <c r="P4" s="30"/>
      <c r="Q4" s="30"/>
      <c r="R4" s="30"/>
      <c r="S4" s="30"/>
    </row>
    <row r="5" spans="1:19" x14ac:dyDescent="0.2">
      <c r="B5" s="38" t="s">
        <v>56</v>
      </c>
      <c r="C5" s="39"/>
      <c r="D5" s="34"/>
      <c r="E5" s="38" t="s">
        <v>1204</v>
      </c>
      <c r="F5" s="39"/>
      <c r="G5" s="31" t="s">
        <v>198</v>
      </c>
      <c r="H5" s="31" t="s">
        <v>115</v>
      </c>
      <c r="I5" s="31"/>
      <c r="J5" s="7" t="s">
        <v>47</v>
      </c>
      <c r="K5" s="8">
        <v>10</v>
      </c>
      <c r="L5" s="8">
        <v>700</v>
      </c>
      <c r="M5" s="29">
        <v>10.91</v>
      </c>
      <c r="N5" s="29">
        <f t="shared" si="0"/>
        <v>0.15585714285714286</v>
      </c>
      <c r="O5" s="30"/>
      <c r="P5" s="30"/>
      <c r="Q5" s="30"/>
      <c r="R5" s="30"/>
      <c r="S5" s="30"/>
    </row>
    <row r="6" spans="1:19" x14ac:dyDescent="0.2">
      <c r="A6"/>
      <c r="B6" s="38" t="s">
        <v>35</v>
      </c>
      <c r="C6" s="39"/>
      <c r="D6" s="34"/>
      <c r="E6" s="38" t="s">
        <v>1011</v>
      </c>
      <c r="F6" s="39"/>
      <c r="G6" s="30">
        <v>1</v>
      </c>
      <c r="H6" s="30">
        <v>8000</v>
      </c>
      <c r="I6" s="30"/>
      <c r="J6" s="7" t="s">
        <v>48</v>
      </c>
      <c r="K6" s="8">
        <f>SUM(K2:K5)</f>
        <v>70</v>
      </c>
      <c r="L6" s="8"/>
      <c r="M6" s="8"/>
      <c r="N6" s="29">
        <f>SUM(N2:N5)</f>
        <v>0.89088571428571428</v>
      </c>
      <c r="O6" s="30"/>
      <c r="P6" s="30"/>
      <c r="Q6" s="30"/>
      <c r="R6" s="30"/>
      <c r="S6" s="30"/>
    </row>
    <row r="7" spans="1:19" x14ac:dyDescent="0.2">
      <c r="A7"/>
      <c r="B7" s="38" t="s">
        <v>36</v>
      </c>
      <c r="C7" s="39"/>
      <c r="D7" s="34"/>
      <c r="E7" s="38" t="s">
        <v>578</v>
      </c>
      <c r="F7" s="39"/>
      <c r="G7" s="30">
        <v>0.9</v>
      </c>
      <c r="H7" s="30">
        <v>7200</v>
      </c>
      <c r="I7" s="30"/>
      <c r="J7" s="7" t="s">
        <v>52</v>
      </c>
      <c r="K7" s="8">
        <f>L7/K6</f>
        <v>10</v>
      </c>
      <c r="L7" s="8">
        <v>700</v>
      </c>
      <c r="M7" s="29"/>
      <c r="N7" s="29">
        <f>N6*K7</f>
        <v>8.9088571428571424</v>
      </c>
      <c r="O7" s="30"/>
      <c r="P7" s="30"/>
      <c r="Q7" s="30"/>
      <c r="R7" s="30"/>
      <c r="S7" s="30"/>
    </row>
    <row r="8" spans="1:19" x14ac:dyDescent="0.2">
      <c r="A8"/>
      <c r="B8" s="38" t="s">
        <v>37</v>
      </c>
      <c r="C8" s="39"/>
      <c r="D8" s="34"/>
      <c r="E8" s="38" t="s">
        <v>581</v>
      </c>
      <c r="F8" s="39"/>
      <c r="G8" s="30">
        <v>0.8</v>
      </c>
      <c r="H8" s="30">
        <v>6400</v>
      </c>
      <c r="I8" s="30"/>
      <c r="J8" s="7" t="s">
        <v>53</v>
      </c>
      <c r="K8" s="41">
        <f>C6</f>
        <v>0</v>
      </c>
      <c r="L8" s="8">
        <v>700</v>
      </c>
      <c r="M8" s="8"/>
      <c r="N8" s="29">
        <f>K8*N7</f>
        <v>0</v>
      </c>
      <c r="O8" s="30"/>
      <c r="P8" s="30"/>
      <c r="Q8" s="30"/>
      <c r="R8" s="30"/>
      <c r="S8" s="30"/>
    </row>
    <row r="9" spans="1:19" ht="15" customHeight="1" x14ac:dyDescent="0.2">
      <c r="A9"/>
      <c r="B9" s="38" t="s">
        <v>39</v>
      </c>
      <c r="C9" s="39"/>
      <c r="D9" s="34"/>
      <c r="E9" s="38" t="s">
        <v>1012</v>
      </c>
      <c r="F9" s="39"/>
      <c r="G9" s="30">
        <v>0.7</v>
      </c>
      <c r="H9" s="30">
        <v>5600</v>
      </c>
      <c r="I9" s="30"/>
      <c r="J9" s="7" t="s">
        <v>198</v>
      </c>
      <c r="K9" s="8">
        <f>L9/K6</f>
        <v>0</v>
      </c>
      <c r="L9" s="8">
        <f>F6</f>
        <v>0</v>
      </c>
      <c r="M9" s="8"/>
      <c r="N9" s="29">
        <f>N6*K9</f>
        <v>0</v>
      </c>
      <c r="O9" s="30"/>
      <c r="P9" s="30"/>
      <c r="Q9" s="30"/>
      <c r="R9" s="30"/>
      <c r="S9" s="30"/>
    </row>
    <row r="10" spans="1:19" ht="15" customHeight="1" x14ac:dyDescent="0.2">
      <c r="A10"/>
      <c r="B10" s="38" t="s">
        <v>778</v>
      </c>
      <c r="C10" s="39"/>
      <c r="D10" s="34"/>
      <c r="E10" s="38" t="s">
        <v>579</v>
      </c>
      <c r="F10" s="39"/>
      <c r="G10" s="30">
        <v>0.6</v>
      </c>
      <c r="H10" s="30">
        <v>4800</v>
      </c>
      <c r="I10" s="30"/>
      <c r="J10" s="30"/>
      <c r="K10" s="30"/>
      <c r="L10" s="30"/>
      <c r="M10" s="30"/>
      <c r="O10" s="42">
        <f>SUM(N8:N9)</f>
        <v>0</v>
      </c>
      <c r="P10" s="30"/>
      <c r="Q10" s="30"/>
      <c r="R10" s="30"/>
      <c r="S10" s="30"/>
    </row>
    <row r="11" spans="1:19" ht="15" customHeight="1" x14ac:dyDescent="0.2">
      <c r="A11"/>
      <c r="B11" s="38" t="s">
        <v>41</v>
      </c>
      <c r="C11" s="39"/>
      <c r="D11" s="34"/>
      <c r="E11" s="38" t="s">
        <v>1208</v>
      </c>
      <c r="F11" s="39"/>
      <c r="G11" s="30">
        <v>0.5</v>
      </c>
      <c r="H11" s="30">
        <v>4000</v>
      </c>
      <c r="I11" s="30"/>
      <c r="J11" s="45" t="s">
        <v>49</v>
      </c>
      <c r="K11" s="30"/>
      <c r="L11" s="30"/>
      <c r="M11" s="30"/>
      <c r="N11" s="30"/>
      <c r="O11" s="30"/>
      <c r="P11" s="30"/>
      <c r="Q11" s="30"/>
      <c r="R11" s="30"/>
      <c r="S11" s="30"/>
    </row>
    <row r="12" spans="1:19" ht="15" customHeight="1" x14ac:dyDescent="0.2">
      <c r="A12"/>
      <c r="B12" s="38" t="s">
        <v>62</v>
      </c>
      <c r="C12" s="39"/>
      <c r="D12" s="34"/>
      <c r="E12" s="38" t="s">
        <v>819</v>
      </c>
      <c r="F12" s="39"/>
      <c r="G12" s="30">
        <v>0.4</v>
      </c>
      <c r="H12" s="30">
        <v>3200</v>
      </c>
      <c r="I12" s="30"/>
      <c r="J12" s="7" t="s">
        <v>25</v>
      </c>
      <c r="K12" s="8">
        <v>300</v>
      </c>
      <c r="L12" s="28">
        <v>700</v>
      </c>
      <c r="M12" s="29">
        <f>'Productos-precio'!D149</f>
        <v>13.41</v>
      </c>
      <c r="N12" s="29">
        <f>(M12*K12)/L12</f>
        <v>5.7471428571428573</v>
      </c>
      <c r="O12" s="30"/>
      <c r="P12" s="30"/>
      <c r="Q12" s="30"/>
      <c r="R12" s="30"/>
      <c r="S12" s="30"/>
    </row>
    <row r="13" spans="1:19" ht="15" customHeight="1" x14ac:dyDescent="0.2">
      <c r="A13"/>
      <c r="B13" s="38" t="s">
        <v>1022</v>
      </c>
      <c r="C13" s="39"/>
      <c r="D13" s="34"/>
      <c r="E13" s="38" t="s">
        <v>1042</v>
      </c>
      <c r="F13" s="39"/>
      <c r="G13" s="30">
        <v>0.3</v>
      </c>
      <c r="H13" s="30">
        <v>2400</v>
      </c>
      <c r="I13" s="30"/>
      <c r="J13" s="7" t="s">
        <v>643</v>
      </c>
      <c r="K13" s="7">
        <v>200</v>
      </c>
      <c r="L13" s="7">
        <v>700</v>
      </c>
      <c r="M13" s="29">
        <f>'Productos-precio'!D201</f>
        <v>18.100000000000001</v>
      </c>
      <c r="N13" s="29">
        <f t="shared" ref="N13:N15" si="1">(M13*K13)/L13</f>
        <v>5.1714285714285717</v>
      </c>
      <c r="O13" s="30"/>
      <c r="P13" s="30"/>
      <c r="Q13" s="30"/>
      <c r="R13" s="30"/>
      <c r="S13" s="30"/>
    </row>
    <row r="14" spans="1:19" ht="15" customHeight="1" x14ac:dyDescent="0.2">
      <c r="A14"/>
      <c r="B14" s="38" t="s">
        <v>1025</v>
      </c>
      <c r="C14" s="39"/>
      <c r="D14" s="34"/>
      <c r="E14" s="38" t="s">
        <v>1207</v>
      </c>
      <c r="F14" s="39"/>
      <c r="G14" s="30">
        <v>0.2</v>
      </c>
      <c r="H14" s="30">
        <v>1600</v>
      </c>
      <c r="I14" s="30"/>
      <c r="J14" s="7" t="s">
        <v>710</v>
      </c>
      <c r="K14" s="7">
        <v>500</v>
      </c>
      <c r="L14" s="7">
        <v>700</v>
      </c>
      <c r="M14" s="29">
        <f>'Productos-precio'!D177</f>
        <v>7.41</v>
      </c>
      <c r="N14" s="29">
        <f t="shared" si="1"/>
        <v>5.2928571428571427</v>
      </c>
      <c r="O14" s="30"/>
      <c r="P14" s="30"/>
      <c r="Q14" s="30"/>
      <c r="R14" s="30"/>
      <c r="S14" s="30"/>
    </row>
    <row r="15" spans="1:19" ht="15" customHeight="1" x14ac:dyDescent="0.2">
      <c r="A15"/>
      <c r="B15" s="38" t="s">
        <v>38</v>
      </c>
      <c r="C15" s="39"/>
      <c r="D15" s="34"/>
      <c r="E15" s="38" t="s">
        <v>203</v>
      </c>
      <c r="F15" s="39"/>
      <c r="G15" s="30">
        <v>0.1</v>
      </c>
      <c r="H15" s="30">
        <v>800</v>
      </c>
      <c r="I15" s="30"/>
      <c r="J15" s="8" t="s">
        <v>51</v>
      </c>
      <c r="K15" s="7">
        <v>5</v>
      </c>
      <c r="L15" s="7">
        <v>200</v>
      </c>
      <c r="M15" s="29">
        <f>'Productos-precio'!D37</f>
        <v>8.68</v>
      </c>
      <c r="N15" s="29">
        <f t="shared" si="1"/>
        <v>0.217</v>
      </c>
      <c r="O15" s="30"/>
      <c r="P15" s="30"/>
      <c r="Q15" s="30"/>
      <c r="R15" s="30"/>
      <c r="S15" s="30"/>
    </row>
    <row r="16" spans="1:19" x14ac:dyDescent="0.2">
      <c r="A16"/>
      <c r="B16" s="38" t="s">
        <v>1028</v>
      </c>
      <c r="C16" s="39"/>
      <c r="D16" s="34"/>
      <c r="E16" s="38" t="s">
        <v>1188</v>
      </c>
      <c r="F16" s="39"/>
      <c r="G16" s="30"/>
      <c r="H16" s="30"/>
      <c r="I16" s="30"/>
      <c r="J16" s="8" t="s">
        <v>54</v>
      </c>
      <c r="K16" s="7">
        <f>SUM(K12:K15)</f>
        <v>1005</v>
      </c>
      <c r="L16" s="7"/>
      <c r="M16" s="44"/>
      <c r="N16" s="29">
        <f>SUM(N12:N15)</f>
        <v>16.428428571428569</v>
      </c>
      <c r="O16" s="30"/>
      <c r="P16" s="30"/>
      <c r="Q16" s="30"/>
      <c r="R16" s="30"/>
      <c r="S16" s="30"/>
    </row>
    <row r="17" spans="1:19" ht="15" customHeight="1" x14ac:dyDescent="0.2">
      <c r="A17"/>
      <c r="B17" s="38" t="s">
        <v>1279</v>
      </c>
      <c r="C17" s="39"/>
      <c r="D17" s="34"/>
      <c r="E17" s="91"/>
      <c r="F17" s="39"/>
      <c r="G17" s="30"/>
      <c r="H17" s="30"/>
      <c r="I17" s="30"/>
      <c r="J17" s="8" t="s">
        <v>52</v>
      </c>
      <c r="K17" s="8">
        <f>L17/K16</f>
        <v>0.69651741293532343</v>
      </c>
      <c r="L17" s="8">
        <v>700</v>
      </c>
      <c r="M17" s="29"/>
      <c r="N17" s="29">
        <f>N16*K17</f>
        <v>11.442686567164179</v>
      </c>
      <c r="O17" s="30"/>
      <c r="P17" s="30"/>
      <c r="Q17" s="30"/>
      <c r="R17" s="30"/>
      <c r="S17" s="30"/>
    </row>
    <row r="18" spans="1:19" ht="15" customHeight="1" x14ac:dyDescent="0.2">
      <c r="A18"/>
      <c r="B18" s="38" t="s">
        <v>1031</v>
      </c>
      <c r="C18" s="39"/>
      <c r="D18" s="34"/>
      <c r="E18" s="38" t="s">
        <v>1202</v>
      </c>
      <c r="F18" s="39"/>
      <c r="G18" s="31" t="s">
        <v>116</v>
      </c>
      <c r="H18" s="31" t="s">
        <v>115</v>
      </c>
      <c r="I18" s="31"/>
      <c r="J18" s="8" t="s">
        <v>53</v>
      </c>
      <c r="K18" s="8">
        <f>C9</f>
        <v>0</v>
      </c>
      <c r="L18" s="8">
        <v>700</v>
      </c>
      <c r="M18" s="8"/>
      <c r="N18" s="29">
        <f>N17*K18</f>
        <v>0</v>
      </c>
      <c r="O18" s="30"/>
      <c r="P18" s="30"/>
      <c r="Q18" s="30"/>
      <c r="R18" s="30"/>
      <c r="S18" s="30"/>
    </row>
    <row r="19" spans="1:19" ht="15" customHeight="1" x14ac:dyDescent="0.2">
      <c r="A19"/>
      <c r="B19" s="43" t="s">
        <v>30</v>
      </c>
      <c r="C19" s="39"/>
      <c r="D19" s="34"/>
      <c r="E19" s="38" t="s">
        <v>204</v>
      </c>
      <c r="F19" s="39"/>
      <c r="G19" s="30">
        <v>1</v>
      </c>
      <c r="H19" s="30">
        <v>2000</v>
      </c>
      <c r="I19" s="30"/>
      <c r="J19" s="8" t="s">
        <v>713</v>
      </c>
      <c r="K19" s="8">
        <f>L19/K16</f>
        <v>0</v>
      </c>
      <c r="L19" s="8">
        <f>F7</f>
        <v>0</v>
      </c>
      <c r="M19" s="8"/>
      <c r="N19" s="29">
        <f>N16*K19</f>
        <v>0</v>
      </c>
      <c r="O19" s="30"/>
      <c r="P19" s="30"/>
      <c r="Q19" s="30"/>
      <c r="R19" s="30"/>
      <c r="S19" s="30"/>
    </row>
    <row r="20" spans="1:19" ht="15" customHeight="1" x14ac:dyDescent="0.2">
      <c r="A20"/>
      <c r="B20" s="43" t="s">
        <v>779</v>
      </c>
      <c r="C20" s="39"/>
      <c r="D20" s="34"/>
      <c r="E20" s="38" t="s">
        <v>1269</v>
      </c>
      <c r="F20" s="39"/>
      <c r="G20" s="30">
        <v>0.9</v>
      </c>
      <c r="H20" s="30">
        <v>1800</v>
      </c>
      <c r="I20" s="30"/>
      <c r="J20" s="44"/>
      <c r="K20" s="44"/>
      <c r="L20" s="44"/>
      <c r="M20" s="44"/>
      <c r="N20" s="106"/>
      <c r="O20" s="30"/>
      <c r="P20" s="30"/>
      <c r="Q20" s="30"/>
      <c r="R20" s="30"/>
      <c r="S20" s="30"/>
    </row>
    <row r="21" spans="1:19" ht="15" customHeight="1" x14ac:dyDescent="0.2">
      <c r="A21"/>
      <c r="B21" s="38" t="s">
        <v>777</v>
      </c>
      <c r="C21" s="39"/>
      <c r="D21" s="37"/>
      <c r="E21" s="197"/>
      <c r="F21" s="39"/>
      <c r="G21" s="30">
        <v>0.8</v>
      </c>
      <c r="H21" s="30">
        <v>1600</v>
      </c>
      <c r="I21" s="30"/>
      <c r="J21" s="30"/>
      <c r="K21" s="30"/>
      <c r="L21" s="30"/>
      <c r="M21" s="30"/>
      <c r="O21" s="42">
        <f>SUM(N18:N19)</f>
        <v>0</v>
      </c>
      <c r="P21" s="30"/>
      <c r="Q21" s="30"/>
      <c r="R21" s="30"/>
      <c r="S21" s="30"/>
    </row>
    <row r="22" spans="1:19" ht="15" customHeight="1" x14ac:dyDescent="0.2">
      <c r="A22"/>
      <c r="B22" s="38" t="s">
        <v>1040</v>
      </c>
      <c r="C22" s="34"/>
      <c r="D22" s="37"/>
      <c r="E22" s="43" t="s">
        <v>1041</v>
      </c>
      <c r="F22" s="39"/>
      <c r="G22" s="30">
        <v>0.7</v>
      </c>
      <c r="H22" s="30">
        <v>1400</v>
      </c>
      <c r="I22" s="30"/>
      <c r="J22" s="30"/>
      <c r="K22" s="30"/>
      <c r="L22" s="30"/>
      <c r="M22" s="30"/>
      <c r="N22" s="42"/>
      <c r="O22" s="30"/>
      <c r="P22" s="30"/>
      <c r="Q22" s="30"/>
      <c r="R22" s="30"/>
      <c r="S22" s="30"/>
    </row>
    <row r="23" spans="1:19" ht="15" customHeight="1" x14ac:dyDescent="0.2">
      <c r="A23"/>
      <c r="B23" s="38" t="s">
        <v>1047</v>
      </c>
      <c r="C23" s="39"/>
      <c r="D23" s="37"/>
      <c r="E23" s="38" t="s">
        <v>1051</v>
      </c>
      <c r="F23" s="39"/>
      <c r="G23" s="30">
        <v>0.6</v>
      </c>
      <c r="H23" s="30">
        <v>1200</v>
      </c>
      <c r="I23" s="30"/>
      <c r="J23" s="90" t="s">
        <v>56</v>
      </c>
      <c r="K23" s="30"/>
      <c r="L23" s="30"/>
      <c r="M23" s="30"/>
      <c r="N23" s="30"/>
      <c r="O23" s="30"/>
      <c r="P23" s="30"/>
      <c r="Q23" s="30"/>
      <c r="R23" s="30"/>
      <c r="S23" s="30"/>
    </row>
    <row r="24" spans="1:19" ht="15" customHeight="1" x14ac:dyDescent="0.2">
      <c r="A24"/>
      <c r="B24" s="38" t="s">
        <v>1303</v>
      </c>
      <c r="C24" s="39"/>
      <c r="D24" s="37"/>
      <c r="E24" s="38" t="s">
        <v>1198</v>
      </c>
      <c r="F24" s="39"/>
      <c r="G24" s="30">
        <v>0.5</v>
      </c>
      <c r="H24" s="30">
        <v>1000</v>
      </c>
      <c r="I24" s="30"/>
      <c r="J24" s="7" t="s">
        <v>42</v>
      </c>
      <c r="K24" s="7">
        <v>50</v>
      </c>
      <c r="L24" s="7">
        <v>1200</v>
      </c>
      <c r="M24" s="29">
        <f>Producciones!F96</f>
        <v>12.757606190476192</v>
      </c>
      <c r="N24" s="29">
        <f>(M24*K24)/L24</f>
        <v>0.53156692460317467</v>
      </c>
      <c r="O24" s="30"/>
      <c r="P24" s="30"/>
      <c r="Q24" s="30"/>
      <c r="R24" s="30"/>
      <c r="S24" s="30"/>
    </row>
    <row r="25" spans="1:19" ht="15" customHeight="1" x14ac:dyDescent="0.2">
      <c r="A25"/>
      <c r="B25" s="91"/>
      <c r="C25" s="39"/>
      <c r="D25" s="37"/>
      <c r="E25" s="38" t="s">
        <v>1189</v>
      </c>
      <c r="F25" s="39"/>
      <c r="G25" s="30">
        <v>0.4</v>
      </c>
      <c r="H25" s="30">
        <v>800</v>
      </c>
      <c r="I25" s="30"/>
      <c r="J25" s="8" t="s">
        <v>54</v>
      </c>
      <c r="K25" s="7">
        <v>50</v>
      </c>
      <c r="L25" s="7"/>
      <c r="M25" s="44"/>
      <c r="N25" s="29">
        <f>SUM(N24:N24)</f>
        <v>0.53156692460317467</v>
      </c>
      <c r="O25" s="30"/>
      <c r="P25" s="30"/>
      <c r="Q25" s="30"/>
      <c r="R25" s="30"/>
      <c r="S25" s="30"/>
    </row>
    <row r="26" spans="1:19" ht="15" customHeight="1" x14ac:dyDescent="0.2">
      <c r="A26"/>
      <c r="B26" s="91"/>
      <c r="C26" s="39"/>
      <c r="D26" s="37"/>
      <c r="E26" s="38" t="s">
        <v>202</v>
      </c>
      <c r="F26" s="39"/>
      <c r="G26" s="30">
        <v>0.3</v>
      </c>
      <c r="H26" s="30">
        <v>600</v>
      </c>
      <c r="I26" s="30"/>
      <c r="J26" s="8" t="s">
        <v>52</v>
      </c>
      <c r="K26" s="51">
        <f>L26/K25</f>
        <v>14</v>
      </c>
      <c r="L26" s="8">
        <v>700</v>
      </c>
      <c r="M26" s="29"/>
      <c r="N26" s="29">
        <f>N25*K26</f>
        <v>7.4419369444444454</v>
      </c>
      <c r="O26" s="30"/>
      <c r="P26" s="30"/>
      <c r="Q26" s="30"/>
      <c r="R26" s="30"/>
      <c r="S26" s="30"/>
    </row>
    <row r="27" spans="1:19" ht="15" customHeight="1" x14ac:dyDescent="0.2">
      <c r="A27"/>
      <c r="B27" s="38" t="s">
        <v>1274</v>
      </c>
      <c r="C27" s="39"/>
      <c r="D27" s="37"/>
      <c r="E27" s="38" t="s">
        <v>1275</v>
      </c>
      <c r="F27" s="39"/>
      <c r="G27" s="30">
        <v>0.2</v>
      </c>
      <c r="H27" s="30">
        <v>400</v>
      </c>
      <c r="I27" s="30"/>
      <c r="J27" s="8" t="s">
        <v>53</v>
      </c>
      <c r="K27" s="8">
        <f>C5</f>
        <v>0</v>
      </c>
      <c r="L27" s="8">
        <v>700</v>
      </c>
      <c r="M27" s="8"/>
      <c r="N27" s="29">
        <f>N26*K27</f>
        <v>0</v>
      </c>
      <c r="O27" s="30"/>
      <c r="P27" s="30"/>
      <c r="Q27" s="30"/>
      <c r="R27" s="30"/>
      <c r="S27" s="30"/>
    </row>
    <row r="28" spans="1:19" ht="15" customHeight="1" x14ac:dyDescent="0.2">
      <c r="A28"/>
      <c r="B28" s="38" t="s">
        <v>60</v>
      </c>
      <c r="C28" s="39"/>
      <c r="D28" s="37"/>
      <c r="E28" s="38" t="s">
        <v>1054</v>
      </c>
      <c r="F28" s="39"/>
      <c r="G28" s="30">
        <v>0.1</v>
      </c>
      <c r="H28" s="30">
        <v>200</v>
      </c>
      <c r="I28" s="30"/>
      <c r="J28" s="8" t="s">
        <v>50</v>
      </c>
      <c r="K28" s="8">
        <f>L28/K25</f>
        <v>0</v>
      </c>
      <c r="L28" s="8">
        <f>F5</f>
        <v>0</v>
      </c>
      <c r="M28" s="8"/>
      <c r="N28" s="29">
        <f>N25*K28</f>
        <v>0</v>
      </c>
      <c r="O28" s="30"/>
      <c r="P28" s="30"/>
      <c r="Q28" s="30"/>
      <c r="R28" s="30"/>
      <c r="S28" s="30"/>
    </row>
    <row r="29" spans="1:19" ht="15" customHeight="1" x14ac:dyDescent="0.2">
      <c r="A29"/>
      <c r="B29" s="38" t="s">
        <v>1056</v>
      </c>
      <c r="C29" s="39"/>
      <c r="D29" s="37"/>
      <c r="E29" s="38" t="s">
        <v>1059</v>
      </c>
      <c r="F29" s="39"/>
      <c r="G29" s="30"/>
      <c r="H29" s="30"/>
      <c r="I29" s="30"/>
      <c r="J29" s="44"/>
      <c r="K29" s="44"/>
      <c r="L29" s="44"/>
      <c r="M29" s="44"/>
      <c r="N29" s="106"/>
      <c r="O29" s="30"/>
      <c r="P29" s="30"/>
      <c r="Q29" s="30"/>
      <c r="R29" s="30"/>
      <c r="S29" s="30"/>
    </row>
    <row r="30" spans="1:19" ht="15" customHeight="1" x14ac:dyDescent="0.2">
      <c r="A30"/>
      <c r="B30" s="38" t="s">
        <v>1060</v>
      </c>
      <c r="C30" s="39"/>
      <c r="D30" s="37"/>
      <c r="E30" s="38" t="s">
        <v>1197</v>
      </c>
      <c r="F30" s="39"/>
      <c r="G30" s="30"/>
      <c r="H30" s="30"/>
      <c r="I30" s="30"/>
      <c r="J30" s="30"/>
      <c r="K30" s="30"/>
      <c r="L30" s="30"/>
      <c r="M30" s="30"/>
      <c r="O30" s="42">
        <f>SUM(N27:N28)</f>
        <v>0</v>
      </c>
      <c r="P30" s="30"/>
      <c r="Q30" s="30"/>
      <c r="R30" s="30"/>
      <c r="S30" s="30"/>
    </row>
    <row r="31" spans="1:19" ht="15" customHeight="1" x14ac:dyDescent="0.2">
      <c r="A31"/>
      <c r="B31" s="38" t="s">
        <v>61</v>
      </c>
      <c r="C31" s="39"/>
      <c r="D31" s="37"/>
      <c r="E31" s="38" t="s">
        <v>109</v>
      </c>
      <c r="F31" s="39"/>
      <c r="G31" s="30" t="s">
        <v>822</v>
      </c>
      <c r="H31" s="30"/>
      <c r="I31" s="30"/>
      <c r="J31" s="30"/>
      <c r="K31" s="30"/>
      <c r="L31" s="30"/>
      <c r="M31" s="30"/>
      <c r="O31" s="30"/>
      <c r="P31" s="30"/>
      <c r="Q31" s="30"/>
      <c r="R31" s="30"/>
      <c r="S31" s="30"/>
    </row>
    <row r="32" spans="1:19" ht="15" customHeight="1" x14ac:dyDescent="0.2">
      <c r="A32"/>
      <c r="B32" s="38" t="s">
        <v>206</v>
      </c>
      <c r="C32" s="39"/>
      <c r="D32" s="37"/>
      <c r="E32" s="38" t="s">
        <v>1276</v>
      </c>
      <c r="F32" s="39"/>
      <c r="G32" s="30">
        <v>1</v>
      </c>
      <c r="H32" s="30">
        <v>5000</v>
      </c>
      <c r="I32" s="30"/>
      <c r="J32" s="94" t="s">
        <v>58</v>
      </c>
      <c r="K32" s="30"/>
      <c r="L32" s="30"/>
      <c r="M32" s="30"/>
      <c r="N32" s="30"/>
      <c r="O32" s="30"/>
      <c r="P32" s="30"/>
      <c r="Q32" s="30"/>
      <c r="R32" s="30"/>
      <c r="S32" s="30"/>
    </row>
    <row r="33" spans="1:19" ht="15" customHeight="1" x14ac:dyDescent="0.2">
      <c r="A33"/>
      <c r="B33" s="38" t="s">
        <v>205</v>
      </c>
      <c r="C33" s="39"/>
      <c r="D33" s="40"/>
      <c r="E33" s="194"/>
      <c r="F33" s="39"/>
      <c r="G33" s="30">
        <v>0.9</v>
      </c>
      <c r="H33" s="30">
        <v>4500</v>
      </c>
      <c r="I33" s="30"/>
      <c r="J33" s="7" t="s">
        <v>48</v>
      </c>
      <c r="K33" s="8">
        <v>25</v>
      </c>
      <c r="L33" s="8">
        <v>1500</v>
      </c>
      <c r="M33" s="29">
        <f>Producciones!F130</f>
        <v>2.6166666666666667</v>
      </c>
      <c r="N33" s="29">
        <f>(M33*K33)/L33</f>
        <v>4.3611111111111114E-2</v>
      </c>
      <c r="O33" s="30"/>
      <c r="P33" s="30"/>
      <c r="Q33" s="30"/>
      <c r="R33" s="30"/>
      <c r="S33" s="30"/>
    </row>
    <row r="34" spans="1:19" ht="15" customHeight="1" x14ac:dyDescent="0.2">
      <c r="A34"/>
      <c r="B34" s="38" t="s">
        <v>1065</v>
      </c>
      <c r="C34" s="39"/>
      <c r="D34" s="40"/>
      <c r="E34" s="195" t="s">
        <v>1069</v>
      </c>
      <c r="F34" s="39"/>
      <c r="G34" s="30">
        <v>0.8</v>
      </c>
      <c r="H34" s="30">
        <v>4000</v>
      </c>
      <c r="I34" s="30"/>
      <c r="J34" s="8" t="s">
        <v>52</v>
      </c>
      <c r="K34" s="8">
        <f>L34/K33</f>
        <v>28</v>
      </c>
      <c r="L34" s="8">
        <v>700</v>
      </c>
      <c r="M34" s="8"/>
      <c r="N34" s="29">
        <f>N33*K34</f>
        <v>1.2211111111111113</v>
      </c>
      <c r="O34" s="30"/>
      <c r="P34" s="30"/>
      <c r="Q34" s="30"/>
      <c r="R34" s="30"/>
      <c r="S34" s="30"/>
    </row>
    <row r="35" spans="1:19" ht="15" customHeight="1" x14ac:dyDescent="0.2">
      <c r="A35"/>
      <c r="B35" s="69" t="s">
        <v>1070</v>
      </c>
      <c r="C35" s="39"/>
      <c r="D35" s="40"/>
      <c r="E35" s="195" t="s">
        <v>1074</v>
      </c>
      <c r="F35" s="39"/>
      <c r="G35" s="30">
        <v>0.7</v>
      </c>
      <c r="H35" s="30">
        <v>3500</v>
      </c>
      <c r="I35" s="30"/>
      <c r="J35" s="8"/>
      <c r="K35" s="8"/>
      <c r="L35" s="8"/>
      <c r="M35" s="8"/>
      <c r="N35" s="29"/>
      <c r="O35" s="30"/>
      <c r="P35" s="30"/>
      <c r="Q35" s="30"/>
      <c r="R35" s="30"/>
      <c r="S35" s="30"/>
    </row>
    <row r="36" spans="1:19" ht="15" customHeight="1" x14ac:dyDescent="0.2">
      <c r="A36"/>
      <c r="B36" s="69" t="s">
        <v>1075</v>
      </c>
      <c r="C36" s="39"/>
      <c r="D36" s="40"/>
      <c r="E36" s="195" t="s">
        <v>1076</v>
      </c>
      <c r="F36" s="39"/>
      <c r="G36" s="30">
        <v>0.6</v>
      </c>
      <c r="H36" s="30">
        <v>3000</v>
      </c>
      <c r="I36" s="30"/>
      <c r="J36" s="7" t="s">
        <v>53</v>
      </c>
      <c r="K36" s="8">
        <f>C8</f>
        <v>0</v>
      </c>
      <c r="L36" s="8">
        <v>700</v>
      </c>
      <c r="M36" s="8"/>
      <c r="N36" s="29">
        <f>N33*K36</f>
        <v>0</v>
      </c>
      <c r="O36" s="30"/>
      <c r="P36" s="30"/>
      <c r="Q36" s="30"/>
      <c r="R36" s="30"/>
      <c r="S36" s="30"/>
    </row>
    <row r="37" spans="1:19" ht="15" customHeight="1" x14ac:dyDescent="0.2">
      <c r="A37"/>
      <c r="B37" s="69" t="s">
        <v>580</v>
      </c>
      <c r="C37" s="39"/>
      <c r="D37" s="40"/>
      <c r="E37" s="195" t="s">
        <v>1270</v>
      </c>
      <c r="F37" s="39"/>
      <c r="G37" s="30">
        <v>0.5</v>
      </c>
      <c r="H37" s="30">
        <v>2500</v>
      </c>
      <c r="I37" s="30"/>
      <c r="J37" s="7" t="s">
        <v>50</v>
      </c>
      <c r="K37" s="8">
        <f>L37/K33</f>
        <v>0</v>
      </c>
      <c r="L37" s="8">
        <f>F8</f>
        <v>0</v>
      </c>
      <c r="M37" s="8"/>
      <c r="N37" s="29">
        <f>N33*K37</f>
        <v>0</v>
      </c>
      <c r="O37" s="30"/>
      <c r="P37" s="30"/>
      <c r="Q37" s="30"/>
      <c r="R37" s="30"/>
      <c r="S37" s="30"/>
    </row>
    <row r="38" spans="1:19" ht="15" customHeight="1" x14ac:dyDescent="0.2">
      <c r="A38"/>
      <c r="B38" s="38" t="s">
        <v>1078</v>
      </c>
      <c r="C38" s="39"/>
      <c r="D38" s="40"/>
      <c r="E38" s="195" t="s">
        <v>1200</v>
      </c>
      <c r="F38" s="39"/>
      <c r="G38" s="30">
        <v>0.4</v>
      </c>
      <c r="H38" s="30">
        <v>2000</v>
      </c>
      <c r="I38" s="30"/>
      <c r="J38" s="30"/>
      <c r="K38" s="30"/>
      <c r="L38" s="30"/>
      <c r="M38" s="30"/>
      <c r="O38" s="42">
        <f>SUM(N36:N37)</f>
        <v>0</v>
      </c>
      <c r="P38" s="30"/>
      <c r="Q38" s="30"/>
      <c r="R38" s="30"/>
      <c r="S38" s="30"/>
    </row>
    <row r="39" spans="1:19" ht="15" customHeight="1" x14ac:dyDescent="0.2">
      <c r="A39"/>
      <c r="B39" s="69" t="s">
        <v>1083</v>
      </c>
      <c r="C39" s="39"/>
      <c r="D39" s="40"/>
      <c r="E39" s="195" t="s">
        <v>1087</v>
      </c>
      <c r="F39" s="39"/>
      <c r="G39" s="30">
        <v>0.3</v>
      </c>
      <c r="H39" s="30">
        <v>1500</v>
      </c>
      <c r="I39" s="30"/>
      <c r="J39" s="90" t="s">
        <v>39</v>
      </c>
      <c r="K39" s="30"/>
      <c r="L39" s="30"/>
      <c r="M39" s="30"/>
      <c r="N39" s="30"/>
      <c r="O39" s="30"/>
      <c r="P39" s="30"/>
      <c r="Q39" s="30"/>
      <c r="R39" s="30"/>
      <c r="S39" s="30"/>
    </row>
    <row r="40" spans="1:19" ht="15" customHeight="1" x14ac:dyDescent="0.2">
      <c r="A40"/>
      <c r="B40" s="69" t="s">
        <v>1088</v>
      </c>
      <c r="C40" s="39"/>
      <c r="D40" s="40"/>
      <c r="E40" s="195" t="s">
        <v>1199</v>
      </c>
      <c r="F40" s="39"/>
      <c r="G40" s="30">
        <v>0.2</v>
      </c>
      <c r="H40" s="30">
        <v>1000</v>
      </c>
      <c r="I40" s="30"/>
      <c r="J40" s="7" t="s">
        <v>1023</v>
      </c>
      <c r="K40" s="8">
        <v>400</v>
      </c>
      <c r="L40" s="8">
        <v>700</v>
      </c>
      <c r="M40" s="29">
        <v>14</v>
      </c>
      <c r="N40" s="29">
        <f>M40*K40/L40</f>
        <v>8</v>
      </c>
      <c r="O40" s="30"/>
      <c r="P40" s="30"/>
      <c r="Q40" s="30"/>
      <c r="R40" s="30"/>
      <c r="S40" s="30"/>
    </row>
    <row r="41" spans="1:19" ht="15" customHeight="1" x14ac:dyDescent="0.2">
      <c r="A41"/>
      <c r="B41" s="69" t="s">
        <v>1016</v>
      </c>
      <c r="C41" s="39"/>
      <c r="D41" s="40"/>
      <c r="E41" s="195" t="s">
        <v>1206</v>
      </c>
      <c r="F41" s="39"/>
      <c r="G41" s="30">
        <v>0.1</v>
      </c>
      <c r="H41" s="30">
        <v>500</v>
      </c>
      <c r="I41" s="30"/>
      <c r="J41" s="7" t="s">
        <v>1024</v>
      </c>
      <c r="K41" s="8">
        <v>600</v>
      </c>
      <c r="L41" s="8">
        <v>700</v>
      </c>
      <c r="M41" s="29">
        <v>10.029999999999999</v>
      </c>
      <c r="N41" s="29">
        <f>M41*K41/L41</f>
        <v>8.5971428571428579</v>
      </c>
      <c r="O41" s="30"/>
      <c r="P41" s="30"/>
      <c r="Q41" s="30"/>
      <c r="R41" s="30"/>
      <c r="S41" s="30"/>
    </row>
    <row r="42" spans="1:19" ht="15" customHeight="1" x14ac:dyDescent="0.2">
      <c r="A42"/>
      <c r="B42" s="91"/>
      <c r="C42" s="39"/>
      <c r="D42" s="40"/>
      <c r="E42" s="195" t="s">
        <v>1203</v>
      </c>
      <c r="F42" s="39"/>
      <c r="G42" s="30"/>
      <c r="H42" s="30"/>
      <c r="I42" s="30"/>
      <c r="J42" s="7"/>
      <c r="K42" s="8"/>
      <c r="L42" s="8"/>
      <c r="M42" s="29"/>
      <c r="N42" s="29"/>
      <c r="O42" s="30"/>
      <c r="P42" s="30"/>
      <c r="Q42" s="30"/>
      <c r="R42" s="30"/>
      <c r="S42" s="30"/>
    </row>
    <row r="43" spans="1:19" ht="15" customHeight="1" x14ac:dyDescent="0.2">
      <c r="A43"/>
      <c r="B43" s="38" t="s">
        <v>1091</v>
      </c>
      <c r="C43" s="39"/>
      <c r="D43" s="39"/>
      <c r="E43" s="195" t="s">
        <v>1095</v>
      </c>
      <c r="F43" s="39"/>
      <c r="G43" s="30" t="s">
        <v>1021</v>
      </c>
      <c r="H43" s="30"/>
      <c r="I43" s="30"/>
      <c r="J43" s="8" t="s">
        <v>714</v>
      </c>
      <c r="K43" s="8">
        <v>1000</v>
      </c>
      <c r="L43" s="8"/>
      <c r="M43" s="29"/>
      <c r="N43" s="29">
        <f>SUM(N40:N42)</f>
        <v>16.597142857142856</v>
      </c>
      <c r="O43" s="30"/>
      <c r="P43" s="30"/>
      <c r="Q43" s="30"/>
      <c r="R43" s="30"/>
      <c r="S43" s="30"/>
    </row>
    <row r="44" spans="1:19" ht="15" customHeight="1" x14ac:dyDescent="0.2">
      <c r="A44"/>
      <c r="B44" s="92"/>
      <c r="C44" s="39"/>
      <c r="D44" s="8"/>
      <c r="E44" s="195" t="s">
        <v>1196</v>
      </c>
      <c r="F44" s="39"/>
      <c r="G44" s="30">
        <v>1</v>
      </c>
      <c r="H44" s="30">
        <v>4000</v>
      </c>
      <c r="I44" s="30"/>
      <c r="J44" s="8"/>
      <c r="K44" s="8"/>
      <c r="L44" s="8"/>
      <c r="M44" s="29"/>
      <c r="N44" s="29"/>
      <c r="O44" s="30"/>
      <c r="P44" s="30"/>
      <c r="Q44" s="30"/>
      <c r="R44" s="30"/>
      <c r="S44" s="30"/>
    </row>
    <row r="45" spans="1:19" ht="15" customHeight="1" x14ac:dyDescent="0.2">
      <c r="A45"/>
      <c r="B45" s="38" t="s">
        <v>1096</v>
      </c>
      <c r="C45" s="39"/>
      <c r="D45" s="8"/>
      <c r="E45" s="195" t="s">
        <v>1100</v>
      </c>
      <c r="F45" s="39"/>
      <c r="G45" s="30">
        <v>0.9</v>
      </c>
      <c r="H45" s="30">
        <v>3600</v>
      </c>
      <c r="I45" s="30"/>
      <c r="J45" s="7" t="s">
        <v>52</v>
      </c>
      <c r="K45" s="8">
        <f>L45/K43</f>
        <v>0.7</v>
      </c>
      <c r="L45" s="8">
        <v>700</v>
      </c>
      <c r="M45" s="8"/>
      <c r="N45" s="29">
        <f>N43*K45</f>
        <v>11.617999999999999</v>
      </c>
      <c r="O45" s="30"/>
      <c r="P45" s="42"/>
      <c r="Q45" s="30"/>
      <c r="R45" s="30"/>
      <c r="S45" s="30"/>
    </row>
    <row r="46" spans="1:19" ht="15" customHeight="1" x14ac:dyDescent="0.2">
      <c r="B46" s="38" t="s">
        <v>1105</v>
      </c>
      <c r="C46" s="39"/>
      <c r="D46" s="8"/>
      <c r="E46" s="195" t="s">
        <v>1217</v>
      </c>
      <c r="F46" s="39"/>
      <c r="G46" s="30">
        <v>0.8</v>
      </c>
      <c r="H46" s="30">
        <v>3200</v>
      </c>
      <c r="I46" s="30"/>
      <c r="J46" s="8" t="s">
        <v>53</v>
      </c>
      <c r="K46" s="8">
        <f>C9</f>
        <v>0</v>
      </c>
      <c r="L46" s="8">
        <v>700</v>
      </c>
      <c r="M46" s="29"/>
      <c r="N46" s="29">
        <f>(K46*N45)</f>
        <v>0</v>
      </c>
      <c r="O46" s="30"/>
      <c r="P46" s="30"/>
      <c r="Q46" s="30"/>
      <c r="R46" s="30"/>
      <c r="S46" s="30"/>
    </row>
    <row r="47" spans="1:19" ht="15" customHeight="1" x14ac:dyDescent="0.2">
      <c r="B47" s="91"/>
      <c r="C47" s="39"/>
      <c r="D47" s="8"/>
      <c r="E47" s="195" t="s">
        <v>1106</v>
      </c>
      <c r="F47" s="39"/>
      <c r="G47" s="30">
        <v>0.7</v>
      </c>
      <c r="H47" s="30">
        <v>2800</v>
      </c>
      <c r="I47" s="30"/>
      <c r="J47" s="8" t="s">
        <v>50</v>
      </c>
      <c r="K47" s="8">
        <f>L47/K43</f>
        <v>0</v>
      </c>
      <c r="L47" s="8">
        <f>F9</f>
        <v>0</v>
      </c>
      <c r="M47" s="8"/>
      <c r="N47" s="29">
        <f>N43*K47</f>
        <v>0</v>
      </c>
      <c r="O47" s="30"/>
      <c r="P47" s="30"/>
      <c r="Q47" s="30"/>
      <c r="R47" s="30"/>
      <c r="S47" s="30"/>
    </row>
    <row r="48" spans="1:19" ht="15" customHeight="1" x14ac:dyDescent="0.2">
      <c r="B48" s="38" t="s">
        <v>1107</v>
      </c>
      <c r="C48" s="39"/>
      <c r="D48" s="8"/>
      <c r="E48" s="195" t="s">
        <v>1108</v>
      </c>
      <c r="F48" s="39"/>
      <c r="G48" s="30">
        <v>0.6</v>
      </c>
      <c r="H48" s="30">
        <v>2400</v>
      </c>
      <c r="I48" s="30"/>
      <c r="J48" s="30"/>
      <c r="K48" s="30"/>
      <c r="L48" s="30"/>
      <c r="M48" s="30"/>
      <c r="O48" s="42">
        <f>SUM(N46:N47)</f>
        <v>0</v>
      </c>
      <c r="P48" s="30"/>
      <c r="Q48" s="30"/>
      <c r="R48" s="30"/>
      <c r="S48" s="30"/>
    </row>
    <row r="49" spans="2:19" ht="15" customHeight="1" x14ac:dyDescent="0.2">
      <c r="B49" s="38" t="s">
        <v>1114</v>
      </c>
      <c r="C49" s="39"/>
      <c r="D49" s="8"/>
      <c r="E49" s="195" t="s">
        <v>583</v>
      </c>
      <c r="F49" s="39"/>
      <c r="G49" s="30">
        <v>0.5</v>
      </c>
      <c r="H49" s="30">
        <v>2000</v>
      </c>
      <c r="I49" s="30"/>
      <c r="J49" s="94" t="s">
        <v>40</v>
      </c>
      <c r="K49" s="30"/>
      <c r="L49" s="30"/>
      <c r="M49" s="30"/>
      <c r="N49" s="30"/>
      <c r="O49" s="30"/>
      <c r="P49" s="30"/>
      <c r="Q49" s="30"/>
      <c r="R49" s="30"/>
      <c r="S49" s="30"/>
    </row>
    <row r="50" spans="2:19" ht="15" customHeight="1" x14ac:dyDescent="0.2">
      <c r="B50" s="92"/>
      <c r="C50" s="39"/>
      <c r="D50" s="8"/>
      <c r="E50" s="195" t="s">
        <v>1215</v>
      </c>
      <c r="F50" s="39"/>
      <c r="G50" s="30">
        <v>0.4</v>
      </c>
      <c r="H50" s="30">
        <v>1600</v>
      </c>
      <c r="I50" s="30"/>
      <c r="J50" s="7" t="s">
        <v>715</v>
      </c>
      <c r="K50" s="8">
        <v>100</v>
      </c>
      <c r="L50" s="8">
        <v>200</v>
      </c>
      <c r="M50" s="182">
        <f>'Productos-precio'!D30</f>
        <v>10.58</v>
      </c>
      <c r="N50" s="48">
        <f>K50*M50/L50</f>
        <v>5.29</v>
      </c>
      <c r="O50" s="30"/>
      <c r="P50" s="30"/>
      <c r="Q50" s="30"/>
      <c r="R50" s="30"/>
      <c r="S50" s="30"/>
    </row>
    <row r="51" spans="2:19" ht="15" customHeight="1" x14ac:dyDescent="0.2">
      <c r="B51" s="69" t="s">
        <v>1115</v>
      </c>
      <c r="C51" s="39"/>
      <c r="D51" s="8"/>
      <c r="E51" s="195" t="s">
        <v>1122</v>
      </c>
      <c r="F51" s="39"/>
      <c r="G51" s="30">
        <v>0.3</v>
      </c>
      <c r="H51" s="30">
        <v>1200</v>
      </c>
      <c r="I51" s="30"/>
      <c r="J51" s="8" t="s">
        <v>716</v>
      </c>
      <c r="K51" s="8">
        <v>500</v>
      </c>
      <c r="L51" s="8">
        <v>700</v>
      </c>
      <c r="M51" s="183">
        <f>'Productos-precio'!D9</f>
        <v>8.82</v>
      </c>
      <c r="N51" s="48">
        <f t="shared" ref="N51:N53" si="2">K51*M51/L51</f>
        <v>6.3</v>
      </c>
      <c r="O51" s="30"/>
      <c r="P51" s="30"/>
      <c r="Q51" s="30"/>
      <c r="R51" s="30"/>
      <c r="S51" s="30"/>
    </row>
    <row r="52" spans="2:19" ht="15" customHeight="1" x14ac:dyDescent="0.2">
      <c r="B52" s="38" t="s">
        <v>1123</v>
      </c>
      <c r="C52" s="39"/>
      <c r="D52" s="8"/>
      <c r="E52" s="195" t="s">
        <v>1127</v>
      </c>
      <c r="F52" s="39"/>
      <c r="G52" s="30">
        <v>0.2</v>
      </c>
      <c r="H52" s="30">
        <v>800</v>
      </c>
      <c r="I52" s="30"/>
      <c r="J52" s="8" t="s">
        <v>717</v>
      </c>
      <c r="K52" s="8">
        <v>200</v>
      </c>
      <c r="L52" s="8">
        <v>700</v>
      </c>
      <c r="M52" s="183">
        <f>'Productos-precio'!D16</f>
        <v>11.16</v>
      </c>
      <c r="N52" s="48">
        <f t="shared" si="2"/>
        <v>3.1885714285714286</v>
      </c>
      <c r="O52" s="30"/>
      <c r="P52" s="30"/>
      <c r="Q52" s="30"/>
      <c r="R52" s="30"/>
      <c r="S52" s="30"/>
    </row>
    <row r="53" spans="2:19" ht="15" customHeight="1" x14ac:dyDescent="0.2">
      <c r="B53" s="38" t="s">
        <v>1046</v>
      </c>
      <c r="C53" s="39"/>
      <c r="D53" s="8"/>
      <c r="E53" s="38" t="s">
        <v>1218</v>
      </c>
      <c r="F53" s="39"/>
      <c r="G53" s="30">
        <v>0.1</v>
      </c>
      <c r="H53" s="30">
        <v>400</v>
      </c>
      <c r="I53" s="30"/>
      <c r="J53" s="9" t="s">
        <v>718</v>
      </c>
      <c r="K53" s="8">
        <v>200</v>
      </c>
      <c r="L53" s="8">
        <v>700</v>
      </c>
      <c r="M53" s="183">
        <f>'Productos-precio'!D13</f>
        <v>21.8</v>
      </c>
      <c r="N53" s="48">
        <f t="shared" si="2"/>
        <v>6.2285714285714286</v>
      </c>
      <c r="O53" s="30"/>
      <c r="P53" s="30"/>
      <c r="Q53" s="30"/>
      <c r="R53" s="30"/>
      <c r="S53" s="30"/>
    </row>
    <row r="54" spans="2:19" ht="15" customHeight="1" x14ac:dyDescent="0.2">
      <c r="B54" s="69" t="s">
        <v>1128</v>
      </c>
      <c r="C54" s="39"/>
      <c r="D54" s="8"/>
      <c r="E54" s="38" t="s">
        <v>1132</v>
      </c>
      <c r="F54" s="39"/>
      <c r="G54" s="30"/>
      <c r="H54" s="30"/>
      <c r="I54" s="30"/>
      <c r="J54" s="49" t="s">
        <v>48</v>
      </c>
      <c r="K54" s="50">
        <v>25</v>
      </c>
      <c r="L54" s="50"/>
      <c r="M54" s="50"/>
      <c r="N54" s="29">
        <f>K54*N55/L55</f>
        <v>0.75025510204081636</v>
      </c>
      <c r="O54" s="30"/>
      <c r="P54" s="30"/>
      <c r="Q54" s="30"/>
      <c r="R54" s="30"/>
      <c r="S54" s="30"/>
    </row>
    <row r="55" spans="2:19" ht="15" customHeight="1" x14ac:dyDescent="0.2">
      <c r="B55" s="92"/>
      <c r="C55" s="39"/>
      <c r="D55" s="8"/>
      <c r="E55" s="195" t="s">
        <v>1187</v>
      </c>
      <c r="F55" s="39"/>
      <c r="G55" s="30" t="s">
        <v>1205</v>
      </c>
      <c r="H55" s="30"/>
      <c r="I55" s="30"/>
      <c r="J55" s="8" t="s">
        <v>52</v>
      </c>
      <c r="K55" s="8">
        <f>L55/K54</f>
        <v>28</v>
      </c>
      <c r="L55" s="8">
        <v>700</v>
      </c>
      <c r="M55" s="8"/>
      <c r="N55" s="29">
        <f>SUM(N50:N53)</f>
        <v>21.007142857142856</v>
      </c>
      <c r="O55" s="30"/>
      <c r="P55" s="30"/>
      <c r="Q55" s="30"/>
      <c r="R55" s="30"/>
      <c r="S55" s="30"/>
    </row>
    <row r="56" spans="2:19" ht="15" customHeight="1" x14ac:dyDescent="0.2">
      <c r="B56" s="38" t="s">
        <v>582</v>
      </c>
      <c r="C56" s="39"/>
      <c r="D56" s="8"/>
      <c r="E56" s="38" t="s">
        <v>1271</v>
      </c>
      <c r="F56" s="39"/>
      <c r="G56" s="30">
        <v>1</v>
      </c>
      <c r="H56" s="30">
        <v>10000</v>
      </c>
      <c r="I56" s="30"/>
      <c r="J56" s="7" t="s">
        <v>53</v>
      </c>
      <c r="K56" s="8">
        <f>C10</f>
        <v>0</v>
      </c>
      <c r="L56" s="8">
        <v>700</v>
      </c>
      <c r="M56" s="8"/>
      <c r="N56" s="29">
        <f>N55*K56</f>
        <v>0</v>
      </c>
      <c r="O56" s="30"/>
      <c r="P56" s="30"/>
      <c r="Q56" s="30"/>
      <c r="R56" s="30"/>
      <c r="S56" s="30"/>
    </row>
    <row r="57" spans="2:19" ht="15" customHeight="1" x14ac:dyDescent="0.2">
      <c r="B57" s="38" t="s">
        <v>1134</v>
      </c>
      <c r="C57" s="39"/>
      <c r="D57" s="8"/>
      <c r="E57" s="38" t="s">
        <v>1277</v>
      </c>
      <c r="F57" s="39"/>
      <c r="G57" s="30">
        <v>0.9</v>
      </c>
      <c r="H57" s="30">
        <v>9000</v>
      </c>
      <c r="I57" s="30"/>
      <c r="J57" s="7" t="s">
        <v>713</v>
      </c>
      <c r="K57" s="8">
        <f>L57/K54</f>
        <v>0</v>
      </c>
      <c r="L57" s="8">
        <f>F10</f>
        <v>0</v>
      </c>
      <c r="M57" s="8"/>
      <c r="N57" s="29">
        <f>N54*K57</f>
        <v>0</v>
      </c>
      <c r="O57" s="30"/>
      <c r="P57" s="30"/>
      <c r="Q57" s="30"/>
      <c r="R57" s="30"/>
      <c r="S57" s="30"/>
    </row>
    <row r="58" spans="2:19" ht="15" customHeight="1" x14ac:dyDescent="0.2">
      <c r="B58" s="38" t="s">
        <v>1084</v>
      </c>
      <c r="C58" s="39"/>
      <c r="D58" s="8"/>
      <c r="E58" s="38" t="s">
        <v>1150</v>
      </c>
      <c r="F58" s="39"/>
      <c r="G58" s="30">
        <v>0.8</v>
      </c>
      <c r="H58" s="30">
        <v>8000</v>
      </c>
      <c r="I58" s="30"/>
      <c r="J58" s="30"/>
      <c r="K58" s="30"/>
      <c r="L58" s="30"/>
      <c r="M58" s="30"/>
      <c r="O58" s="42">
        <f>SUM(N56:N57)</f>
        <v>0</v>
      </c>
      <c r="P58" s="30"/>
      <c r="Q58" s="30"/>
      <c r="R58" s="30"/>
      <c r="S58" s="30"/>
    </row>
    <row r="59" spans="2:19" ht="15" customHeight="1" x14ac:dyDescent="0.2">
      <c r="B59" s="69" t="s">
        <v>1085</v>
      </c>
      <c r="C59" s="39"/>
      <c r="D59" s="8"/>
      <c r="E59" s="38" t="s">
        <v>1151</v>
      </c>
      <c r="F59" s="39"/>
      <c r="G59" s="30">
        <v>0.7</v>
      </c>
      <c r="H59" s="30">
        <v>7000</v>
      </c>
      <c r="I59" s="30"/>
      <c r="J59" s="90" t="s">
        <v>41</v>
      </c>
      <c r="K59" s="30"/>
      <c r="L59" s="30"/>
      <c r="M59" s="30"/>
      <c r="N59" s="30"/>
      <c r="O59" s="30"/>
      <c r="P59" s="30"/>
      <c r="Q59" s="30"/>
      <c r="R59" s="30"/>
      <c r="S59" s="30"/>
    </row>
    <row r="60" spans="2:19" ht="15" customHeight="1" x14ac:dyDescent="0.2">
      <c r="B60" s="92"/>
      <c r="C60" s="39"/>
      <c r="D60" s="8"/>
      <c r="E60" s="38" t="s">
        <v>583</v>
      </c>
      <c r="F60" s="39"/>
      <c r="G60" s="30">
        <v>0.6</v>
      </c>
      <c r="H60" s="30">
        <v>6000</v>
      </c>
      <c r="I60" s="30"/>
      <c r="J60" s="7" t="s">
        <v>48</v>
      </c>
      <c r="K60" s="8">
        <v>25</v>
      </c>
      <c r="L60" s="8">
        <v>1000</v>
      </c>
      <c r="M60" s="29">
        <v>2.4</v>
      </c>
      <c r="N60" s="29">
        <f>(M60*K60)/L60</f>
        <v>0.06</v>
      </c>
      <c r="O60" s="30"/>
      <c r="P60" s="30"/>
      <c r="Q60" s="30"/>
      <c r="R60" s="30"/>
      <c r="S60" s="30"/>
    </row>
    <row r="61" spans="2:19" ht="15" customHeight="1" x14ac:dyDescent="0.2">
      <c r="B61" s="92"/>
      <c r="C61" s="39"/>
      <c r="D61" s="8"/>
      <c r="E61" s="38" t="s">
        <v>1216</v>
      </c>
      <c r="F61" s="39"/>
      <c r="G61" s="30">
        <v>0.5</v>
      </c>
      <c r="H61" s="30">
        <v>5000</v>
      </c>
      <c r="I61" s="30"/>
      <c r="J61" s="7" t="s">
        <v>52</v>
      </c>
      <c r="K61" s="8">
        <f>L62/K60</f>
        <v>28</v>
      </c>
      <c r="L61" s="8"/>
      <c r="M61" s="29"/>
      <c r="N61" s="29">
        <f>N60*K61</f>
        <v>1.68</v>
      </c>
      <c r="O61" s="30"/>
      <c r="P61" s="30"/>
      <c r="Q61" s="30"/>
      <c r="R61" s="30"/>
      <c r="S61" s="30"/>
    </row>
    <row r="62" spans="2:19" ht="15" customHeight="1" x14ac:dyDescent="0.2">
      <c r="B62" s="38" t="s">
        <v>1152</v>
      </c>
      <c r="C62" s="39"/>
      <c r="D62" s="8"/>
      <c r="E62" s="38" t="s">
        <v>1211</v>
      </c>
      <c r="F62" s="39"/>
      <c r="G62" s="30">
        <v>0.4</v>
      </c>
      <c r="H62" s="30">
        <v>4000</v>
      </c>
      <c r="I62" s="30"/>
      <c r="J62" s="7" t="s">
        <v>53</v>
      </c>
      <c r="K62" s="8"/>
      <c r="L62" s="8">
        <v>700</v>
      </c>
      <c r="M62" s="8"/>
      <c r="N62" s="29">
        <f>N61*K62</f>
        <v>0</v>
      </c>
      <c r="O62" s="30"/>
      <c r="P62" s="30"/>
      <c r="Q62" s="30"/>
      <c r="R62" s="30"/>
      <c r="S62" s="30"/>
    </row>
    <row r="63" spans="2:19" ht="15" customHeight="1" x14ac:dyDescent="0.2">
      <c r="B63" s="93"/>
      <c r="C63" s="39"/>
      <c r="D63" s="71"/>
      <c r="E63" s="196" t="s">
        <v>584</v>
      </c>
      <c r="F63" s="39"/>
      <c r="G63" s="30">
        <v>0.3</v>
      </c>
      <c r="H63" s="30">
        <v>3000</v>
      </c>
      <c r="I63" s="30"/>
      <c r="J63" s="7" t="s">
        <v>713</v>
      </c>
      <c r="K63" s="8">
        <f>L63/K60</f>
        <v>0</v>
      </c>
      <c r="L63" s="8">
        <f>F11</f>
        <v>0</v>
      </c>
      <c r="M63" s="8"/>
      <c r="N63" s="29">
        <f>N60*K63</f>
        <v>0</v>
      </c>
      <c r="O63" s="30"/>
      <c r="P63" s="30"/>
      <c r="Q63" s="30"/>
      <c r="R63" s="30"/>
      <c r="S63" s="30"/>
    </row>
    <row r="64" spans="2:19" ht="15" customHeight="1" x14ac:dyDescent="0.2">
      <c r="B64" s="8" t="s">
        <v>1220</v>
      </c>
      <c r="C64" s="39"/>
      <c r="D64" s="8"/>
      <c r="E64" s="38" t="s">
        <v>1272</v>
      </c>
      <c r="F64" s="39"/>
      <c r="G64" s="30">
        <v>0.2</v>
      </c>
      <c r="H64" s="30">
        <v>2000</v>
      </c>
      <c r="I64" s="30"/>
      <c r="J64" s="30"/>
      <c r="K64" s="30"/>
      <c r="L64" s="30"/>
      <c r="M64" s="30"/>
      <c r="O64" s="42">
        <f>SUM(N62:N63)</f>
        <v>0</v>
      </c>
      <c r="P64" s="30"/>
      <c r="Q64" s="30"/>
      <c r="R64" s="30"/>
      <c r="S64" s="30"/>
    </row>
    <row r="65" spans="2:19" ht="15" customHeight="1" x14ac:dyDescent="0.2">
      <c r="B65" s="8" t="s">
        <v>1094</v>
      </c>
      <c r="C65" s="39"/>
      <c r="D65" s="8"/>
      <c r="E65" s="38" t="s">
        <v>1154</v>
      </c>
      <c r="F65" s="39"/>
      <c r="G65" s="30">
        <v>0.1</v>
      </c>
      <c r="H65" s="30">
        <v>1000</v>
      </c>
      <c r="I65" s="30"/>
      <c r="J65" s="90" t="s">
        <v>719</v>
      </c>
      <c r="K65" s="30"/>
      <c r="L65" s="30"/>
      <c r="M65" s="30"/>
      <c r="N65" s="30"/>
      <c r="O65" s="30"/>
      <c r="P65" s="30"/>
      <c r="Q65" s="30"/>
      <c r="R65" s="30"/>
      <c r="S65" s="30"/>
    </row>
    <row r="66" spans="2:19" ht="15" customHeight="1" x14ac:dyDescent="0.2">
      <c r="B66" s="8" t="s">
        <v>1155</v>
      </c>
      <c r="C66" s="39"/>
      <c r="D66" s="8"/>
      <c r="E66" s="38" t="s">
        <v>1156</v>
      </c>
      <c r="F66" s="39"/>
      <c r="G66" s="30"/>
      <c r="H66" s="30"/>
      <c r="I66" s="30"/>
      <c r="J66" s="7" t="s">
        <v>48</v>
      </c>
      <c r="K66" s="8">
        <v>100</v>
      </c>
      <c r="L66" s="8">
        <v>1000</v>
      </c>
      <c r="M66" s="29"/>
      <c r="N66" s="29">
        <v>2.7</v>
      </c>
      <c r="O66" s="30"/>
      <c r="P66" s="30"/>
      <c r="Q66" s="30"/>
      <c r="R66" s="30"/>
      <c r="S66" s="30"/>
    </row>
    <row r="67" spans="2:19" ht="15" customHeight="1" x14ac:dyDescent="0.2">
      <c r="B67" s="8" t="s">
        <v>1159</v>
      </c>
      <c r="C67" s="39"/>
      <c r="D67" s="8"/>
      <c r="E67" s="38" t="s">
        <v>1304</v>
      </c>
      <c r="F67" s="39"/>
      <c r="G67" s="30"/>
      <c r="H67" s="30"/>
      <c r="I67" s="30"/>
      <c r="J67" s="7" t="s">
        <v>52</v>
      </c>
      <c r="K67" s="8">
        <f>L69/K66</f>
        <v>7</v>
      </c>
      <c r="L67" s="8">
        <v>700</v>
      </c>
      <c r="M67" s="29"/>
      <c r="N67" s="29">
        <f>N66*K67</f>
        <v>18.900000000000002</v>
      </c>
      <c r="O67" s="30"/>
      <c r="P67" s="30"/>
      <c r="Q67" s="30"/>
      <c r="R67" s="30"/>
      <c r="S67" s="30"/>
    </row>
    <row r="68" spans="2:19" ht="15" customHeight="1" x14ac:dyDescent="0.2">
      <c r="B68" s="93"/>
      <c r="C68" s="39"/>
      <c r="D68" s="8"/>
      <c r="E68" s="38" t="s">
        <v>1186</v>
      </c>
      <c r="F68" s="39"/>
      <c r="G68" s="30"/>
      <c r="H68" s="30"/>
      <c r="I68" s="30"/>
      <c r="J68" s="7"/>
      <c r="K68" s="8"/>
      <c r="L68" s="8"/>
      <c r="M68" s="29"/>
      <c r="N68" s="29"/>
      <c r="O68" s="30"/>
      <c r="P68" s="30"/>
      <c r="Q68" s="30"/>
      <c r="R68" s="30"/>
      <c r="S68" s="30"/>
    </row>
    <row r="69" spans="2:19" ht="15" customHeight="1" x14ac:dyDescent="0.2">
      <c r="B69" s="8" t="s">
        <v>1104</v>
      </c>
      <c r="C69" s="39"/>
      <c r="D69" s="8"/>
      <c r="E69" s="38" t="s">
        <v>1184</v>
      </c>
      <c r="F69" s="39"/>
      <c r="G69" s="30"/>
      <c r="H69" s="30"/>
      <c r="I69" s="30"/>
      <c r="J69" s="7" t="s">
        <v>53</v>
      </c>
      <c r="K69" s="8"/>
      <c r="L69" s="8">
        <v>700</v>
      </c>
      <c r="M69" s="8"/>
      <c r="N69" s="29">
        <f>N67*K69</f>
        <v>0</v>
      </c>
      <c r="O69" s="30"/>
      <c r="P69" s="30"/>
      <c r="Q69" s="30"/>
      <c r="R69" s="30"/>
      <c r="S69" s="30"/>
    </row>
    <row r="70" spans="2:19" ht="15" customHeight="1" x14ac:dyDescent="0.2">
      <c r="B70" s="8" t="s">
        <v>973</v>
      </c>
      <c r="C70" s="39"/>
      <c r="D70" s="8"/>
      <c r="E70" s="38" t="s">
        <v>1278</v>
      </c>
      <c r="F70" s="39"/>
      <c r="G70" s="30"/>
      <c r="H70" s="30"/>
      <c r="I70" s="30"/>
      <c r="J70" s="7"/>
      <c r="K70" s="8"/>
      <c r="L70" s="8"/>
      <c r="M70" s="8"/>
      <c r="N70" s="29"/>
      <c r="O70" s="30"/>
      <c r="P70" s="30"/>
      <c r="Q70" s="30"/>
      <c r="R70" s="30"/>
      <c r="S70" s="30"/>
    </row>
    <row r="71" spans="2:19" ht="15" customHeight="1" x14ac:dyDescent="0.2">
      <c r="B71" s="8" t="s">
        <v>1093</v>
      </c>
      <c r="C71" s="39"/>
      <c r="D71" s="8"/>
      <c r="E71" s="38" t="s">
        <v>1185</v>
      </c>
      <c r="F71" s="39"/>
      <c r="G71" s="30"/>
      <c r="H71" s="30"/>
      <c r="I71" s="30"/>
      <c r="J71" s="7" t="s">
        <v>50</v>
      </c>
      <c r="K71" s="8">
        <f>L71/K66</f>
        <v>0</v>
      </c>
      <c r="L71" s="8">
        <f>F12</f>
        <v>0</v>
      </c>
      <c r="M71" s="8"/>
      <c r="N71" s="29">
        <f>N66*K71</f>
        <v>0</v>
      </c>
      <c r="O71" s="30"/>
      <c r="P71" s="30"/>
      <c r="Q71" s="30"/>
      <c r="R71" s="30"/>
      <c r="S71" s="30"/>
    </row>
    <row r="72" spans="2:19" ht="15" customHeight="1" x14ac:dyDescent="0.2">
      <c r="B72" s="8" t="s">
        <v>1072</v>
      </c>
      <c r="C72" s="39"/>
      <c r="D72" s="8"/>
      <c r="E72" s="38" t="s">
        <v>1192</v>
      </c>
      <c r="F72" s="39"/>
      <c r="G72" s="30"/>
      <c r="H72" s="30"/>
      <c r="I72" s="30"/>
      <c r="J72" s="30"/>
      <c r="K72" s="30"/>
      <c r="L72" s="30"/>
      <c r="M72" s="30"/>
      <c r="O72" s="42">
        <f>SUM(N69:N71)</f>
        <v>0</v>
      </c>
      <c r="P72" s="30"/>
      <c r="Q72" s="30"/>
      <c r="R72" s="30"/>
      <c r="S72" s="30"/>
    </row>
    <row r="73" spans="2:19" ht="15" customHeight="1" x14ac:dyDescent="0.2">
      <c r="B73" s="8" t="s">
        <v>1193</v>
      </c>
      <c r="C73" s="39"/>
      <c r="D73" s="8"/>
      <c r="E73" s="38" t="s">
        <v>1194</v>
      </c>
      <c r="F73" s="39"/>
      <c r="G73" s="30"/>
      <c r="H73" s="30"/>
      <c r="I73" s="30"/>
      <c r="J73" s="185" t="s">
        <v>1022</v>
      </c>
      <c r="K73" s="184"/>
      <c r="L73" s="30"/>
      <c r="M73" s="30"/>
      <c r="N73" s="30"/>
      <c r="O73" s="30"/>
      <c r="P73" s="30"/>
      <c r="Q73" s="30"/>
      <c r="R73" s="30"/>
      <c r="S73" s="30"/>
    </row>
    <row r="74" spans="2:19" ht="15" customHeight="1" x14ac:dyDescent="0.2">
      <c r="B74" s="8" t="s">
        <v>815</v>
      </c>
      <c r="C74" s="39"/>
      <c r="D74" s="8"/>
      <c r="E74" s="8" t="s">
        <v>818</v>
      </c>
      <c r="F74" s="39"/>
      <c r="G74" s="30"/>
      <c r="H74" s="30"/>
      <c r="I74" s="30"/>
      <c r="J74" s="7" t="s">
        <v>48</v>
      </c>
      <c r="K74" s="8">
        <v>100</v>
      </c>
      <c r="L74" s="8">
        <v>1000</v>
      </c>
      <c r="M74" s="29"/>
      <c r="N74" s="29">
        <v>5.03</v>
      </c>
      <c r="O74" s="30"/>
      <c r="P74" s="30"/>
      <c r="Q74" s="30"/>
      <c r="R74" s="30"/>
      <c r="S74" s="30"/>
    </row>
    <row r="75" spans="2:19" ht="15" customHeight="1" x14ac:dyDescent="0.2">
      <c r="B75" s="8" t="s">
        <v>898</v>
      </c>
      <c r="C75" s="39">
        <v>0.8</v>
      </c>
      <c r="D75" s="8"/>
      <c r="E75" s="195" t="s">
        <v>843</v>
      </c>
      <c r="F75" s="39"/>
      <c r="G75" s="30"/>
      <c r="H75" s="30"/>
      <c r="I75" s="30"/>
      <c r="J75" s="8" t="s">
        <v>52</v>
      </c>
      <c r="K75" s="8">
        <f>L76/K74</f>
        <v>7</v>
      </c>
      <c r="L75" s="8">
        <v>700</v>
      </c>
      <c r="M75" s="29"/>
      <c r="N75" s="29">
        <f>N74*K75</f>
        <v>35.21</v>
      </c>
      <c r="O75" s="30"/>
      <c r="P75" s="30"/>
      <c r="Q75" s="30"/>
      <c r="R75" s="30"/>
      <c r="S75" s="30"/>
    </row>
    <row r="76" spans="2:19" ht="15" customHeight="1" x14ac:dyDescent="0.2">
      <c r="B76" s="8" t="s">
        <v>814</v>
      </c>
      <c r="C76" s="39"/>
      <c r="D76" s="8"/>
      <c r="E76" s="8" t="s">
        <v>1013</v>
      </c>
      <c r="F76" s="39"/>
      <c r="G76" s="30"/>
      <c r="H76" s="30"/>
      <c r="I76" s="30"/>
      <c r="J76" s="7" t="s">
        <v>53</v>
      </c>
      <c r="K76" s="8">
        <f>C13</f>
        <v>0</v>
      </c>
      <c r="L76" s="8">
        <v>700</v>
      </c>
      <c r="M76" s="8"/>
      <c r="N76" s="29">
        <f>N75*K76</f>
        <v>0</v>
      </c>
      <c r="O76" s="30"/>
      <c r="P76" s="30"/>
      <c r="Q76" s="30"/>
      <c r="R76" s="30"/>
      <c r="S76" s="30"/>
    </row>
    <row r="77" spans="2:19" ht="15" customHeight="1" x14ac:dyDescent="0.2">
      <c r="B77" s="8" t="s">
        <v>816</v>
      </c>
      <c r="C77" s="39"/>
      <c r="D77" s="8"/>
      <c r="E77" s="8" t="s">
        <v>1014</v>
      </c>
      <c r="F77" s="39"/>
      <c r="G77" s="30"/>
      <c r="H77" s="30"/>
      <c r="I77" s="30"/>
      <c r="J77" s="7" t="s">
        <v>50</v>
      </c>
      <c r="K77" s="8">
        <f>L77/K74</f>
        <v>0</v>
      </c>
      <c r="L77" s="8">
        <f>F13</f>
        <v>0</v>
      </c>
      <c r="M77" s="8"/>
      <c r="N77" s="29">
        <f>N74*K77</f>
        <v>0</v>
      </c>
      <c r="O77" s="30"/>
      <c r="P77" s="30"/>
      <c r="Q77" s="30"/>
      <c r="R77" s="30"/>
      <c r="S77" s="30"/>
    </row>
    <row r="78" spans="2:19" ht="15" customHeight="1" x14ac:dyDescent="0.2">
      <c r="B78" s="8" t="s">
        <v>817</v>
      </c>
      <c r="C78" s="39"/>
      <c r="D78" s="8"/>
      <c r="E78" s="8" t="s">
        <v>1015</v>
      </c>
      <c r="F78" s="39"/>
      <c r="G78" s="30"/>
      <c r="H78" s="30"/>
      <c r="I78" s="30"/>
      <c r="J78" s="30"/>
      <c r="K78" s="30"/>
      <c r="L78" s="30"/>
      <c r="M78" s="30"/>
      <c r="O78" s="42">
        <f>SUM(N76:N77)</f>
        <v>0</v>
      </c>
      <c r="P78" s="30"/>
      <c r="Q78" s="30"/>
      <c r="R78" s="30"/>
      <c r="S78" s="30"/>
    </row>
    <row r="79" spans="2:19" ht="15" customHeight="1" x14ac:dyDescent="0.2">
      <c r="B79" s="214"/>
      <c r="C79" s="39"/>
      <c r="D79" s="8"/>
      <c r="E79" s="71" t="s">
        <v>1195</v>
      </c>
      <c r="F79" s="39"/>
      <c r="G79" s="30"/>
      <c r="H79" s="30"/>
      <c r="I79" s="30"/>
      <c r="J79" s="185" t="s">
        <v>1025</v>
      </c>
      <c r="K79" s="184"/>
      <c r="L79" s="30"/>
      <c r="M79" s="30"/>
      <c r="N79" s="30"/>
      <c r="O79" s="30"/>
      <c r="P79" s="30"/>
      <c r="Q79" s="30"/>
      <c r="R79" s="30"/>
      <c r="S79" s="30"/>
    </row>
    <row r="80" spans="2:19" x14ac:dyDescent="0.2">
      <c r="B80" s="214"/>
      <c r="C80" s="39"/>
      <c r="D80" s="71"/>
      <c r="E80" s="206" t="s">
        <v>1201</v>
      </c>
      <c r="F80" s="39"/>
      <c r="G80" s="30"/>
      <c r="H80" s="30"/>
      <c r="I80" s="30"/>
      <c r="J80" s="7" t="s">
        <v>1026</v>
      </c>
      <c r="K80" s="8">
        <v>35</v>
      </c>
      <c r="L80" s="8">
        <v>1000</v>
      </c>
      <c r="M80" s="29">
        <v>14.23</v>
      </c>
      <c r="N80" s="29">
        <f>M80/L80*K80</f>
        <v>0.49804999999999999</v>
      </c>
      <c r="O80" s="30"/>
      <c r="P80" s="30"/>
      <c r="Q80" s="30"/>
      <c r="R80" s="30"/>
      <c r="S80" s="30"/>
    </row>
    <row r="81" spans="2:19" ht="15" customHeight="1" x14ac:dyDescent="0.2">
      <c r="B81" s="8" t="s">
        <v>1233</v>
      </c>
      <c r="C81" s="39"/>
      <c r="D81" s="8"/>
      <c r="E81" s="38" t="s">
        <v>1210</v>
      </c>
      <c r="F81" s="39"/>
      <c r="G81" s="30"/>
      <c r="H81" s="30"/>
      <c r="I81" s="30"/>
      <c r="J81" s="7" t="s">
        <v>751</v>
      </c>
      <c r="K81" s="8">
        <v>20</v>
      </c>
      <c r="L81" s="8">
        <v>700</v>
      </c>
      <c r="M81" s="29">
        <v>7.42</v>
      </c>
      <c r="N81" s="29">
        <f t="shared" ref="N81:N83" si="3">M81/L81*K81</f>
        <v>0.21199999999999999</v>
      </c>
      <c r="O81" s="30"/>
      <c r="P81" s="30"/>
      <c r="Q81" s="30"/>
      <c r="R81" s="30"/>
      <c r="S81" s="30"/>
    </row>
    <row r="82" spans="2:19" ht="15" customHeight="1" x14ac:dyDescent="0.2">
      <c r="B82" s="38" t="s">
        <v>1234</v>
      </c>
      <c r="C82" s="39"/>
      <c r="D82" s="8"/>
      <c r="E82" s="38" t="s">
        <v>1214</v>
      </c>
      <c r="F82" s="39"/>
      <c r="G82" s="30"/>
      <c r="H82" s="30"/>
      <c r="I82" s="30"/>
      <c r="J82" s="209" t="s">
        <v>1027</v>
      </c>
      <c r="K82" s="71">
        <v>10</v>
      </c>
      <c r="L82" s="71">
        <v>500</v>
      </c>
      <c r="M82" s="210">
        <v>12</v>
      </c>
      <c r="N82" s="29">
        <f t="shared" si="3"/>
        <v>0.24</v>
      </c>
      <c r="O82" s="30"/>
      <c r="P82" s="30"/>
      <c r="Q82" s="30"/>
      <c r="R82" s="30"/>
      <c r="S82" s="30"/>
    </row>
    <row r="83" spans="2:19" ht="15" customHeight="1" x14ac:dyDescent="0.2">
      <c r="B83" s="38" t="s">
        <v>1235</v>
      </c>
      <c r="C83" s="39"/>
      <c r="D83" s="8"/>
      <c r="E83" s="38" t="s">
        <v>1219</v>
      </c>
      <c r="F83" s="39"/>
      <c r="G83" s="30"/>
      <c r="H83" s="30"/>
      <c r="I83" s="30"/>
      <c r="J83" s="69" t="s">
        <v>758</v>
      </c>
      <c r="K83" s="69">
        <v>10</v>
      </c>
      <c r="L83" s="69">
        <v>500</v>
      </c>
      <c r="M83" s="69">
        <v>22.5</v>
      </c>
      <c r="N83" s="29">
        <f t="shared" si="3"/>
        <v>0.44999999999999996</v>
      </c>
      <c r="O83" s="30"/>
      <c r="P83" s="30"/>
      <c r="Q83" s="30"/>
      <c r="R83" s="30"/>
      <c r="S83" s="30"/>
    </row>
    <row r="84" spans="2:19" ht="15" customHeight="1" x14ac:dyDescent="0.2">
      <c r="B84" s="38" t="s">
        <v>1231</v>
      </c>
      <c r="C84" s="39"/>
      <c r="D84" s="8"/>
      <c r="E84" s="38" t="s">
        <v>1232</v>
      </c>
      <c r="F84" s="39"/>
      <c r="G84" s="30"/>
      <c r="H84" s="30"/>
      <c r="I84" s="30"/>
      <c r="J84" s="49" t="s">
        <v>48</v>
      </c>
      <c r="K84" s="50">
        <f>SUM(K80:K83)</f>
        <v>75</v>
      </c>
      <c r="L84" s="50"/>
      <c r="M84" s="50"/>
      <c r="N84" s="211">
        <f>SUM(N80:N83)</f>
        <v>1.4000499999999998</v>
      </c>
      <c r="O84" s="30"/>
      <c r="P84" s="30"/>
      <c r="Q84" s="30"/>
      <c r="R84" s="30"/>
      <c r="S84" s="30"/>
    </row>
    <row r="85" spans="2:19" ht="15" customHeight="1" x14ac:dyDescent="0.2">
      <c r="B85" s="38" t="s">
        <v>1295</v>
      </c>
      <c r="C85" s="39"/>
      <c r="D85" s="8"/>
      <c r="E85" s="38" t="s">
        <v>1246</v>
      </c>
      <c r="F85" s="39"/>
      <c r="G85" s="30"/>
      <c r="H85" s="30"/>
      <c r="I85" s="30"/>
      <c r="J85" s="8" t="s">
        <v>52</v>
      </c>
      <c r="K85" s="51">
        <f>L85/K84</f>
        <v>9.3333333333333339</v>
      </c>
      <c r="L85" s="8">
        <v>700</v>
      </c>
      <c r="M85" s="8"/>
      <c r="N85" s="29">
        <f>N84*K85</f>
        <v>13.067133333333333</v>
      </c>
      <c r="O85" s="30"/>
      <c r="P85" s="30"/>
      <c r="Q85" s="30"/>
      <c r="R85" s="30"/>
      <c r="S85" s="30"/>
    </row>
    <row r="86" spans="2:19" ht="15" customHeight="1" x14ac:dyDescent="0.2">
      <c r="B86" s="38"/>
      <c r="C86" s="39"/>
      <c r="D86" s="8"/>
      <c r="E86" s="38" t="s">
        <v>1245</v>
      </c>
      <c r="F86" s="39"/>
      <c r="G86" s="30"/>
      <c r="H86" s="30"/>
      <c r="I86" s="30"/>
      <c r="J86" s="7" t="s">
        <v>53</v>
      </c>
      <c r="K86" s="8">
        <f>C14</f>
        <v>0</v>
      </c>
      <c r="L86" s="8">
        <v>700</v>
      </c>
      <c r="M86" s="8"/>
      <c r="N86" s="29">
        <f>N85*K86</f>
        <v>0</v>
      </c>
      <c r="P86" s="30"/>
      <c r="Q86" s="30"/>
      <c r="R86" s="30"/>
      <c r="S86" s="30"/>
    </row>
    <row r="87" spans="2:19" ht="15" customHeight="1" x14ac:dyDescent="0.2">
      <c r="B87" s="38"/>
      <c r="C87" s="39"/>
      <c r="D87" s="8"/>
      <c r="E87" s="38" t="s">
        <v>1244</v>
      </c>
      <c r="F87" s="39"/>
      <c r="G87" s="30"/>
      <c r="H87" s="30"/>
      <c r="I87" s="30"/>
      <c r="J87" s="7" t="s">
        <v>198</v>
      </c>
      <c r="K87" s="8">
        <f>L87/K84</f>
        <v>0</v>
      </c>
      <c r="L87" s="8">
        <f>F14</f>
        <v>0</v>
      </c>
      <c r="M87" s="8"/>
      <c r="N87" s="29">
        <f>K87*N84</f>
        <v>0</v>
      </c>
      <c r="O87" s="30"/>
      <c r="P87" s="30"/>
      <c r="Q87" s="30"/>
      <c r="R87" s="30"/>
      <c r="S87" s="30"/>
    </row>
    <row r="88" spans="2:19" ht="15" customHeight="1" x14ac:dyDescent="0.2">
      <c r="B88" s="38"/>
      <c r="C88" s="39"/>
      <c r="D88" s="8"/>
      <c r="E88" s="38" t="s">
        <v>1280</v>
      </c>
      <c r="F88" s="39"/>
      <c r="G88" s="30"/>
      <c r="H88" s="30"/>
      <c r="I88" s="30"/>
      <c r="J88" s="30"/>
      <c r="K88" s="30"/>
      <c r="L88" s="30"/>
      <c r="M88" s="30"/>
      <c r="O88" s="42">
        <f>SUM(N86:N87)</f>
        <v>0</v>
      </c>
      <c r="P88" s="30"/>
      <c r="Q88" s="30"/>
      <c r="R88" s="30"/>
      <c r="S88" s="30"/>
    </row>
    <row r="89" spans="2:19" ht="15" customHeight="1" x14ac:dyDescent="0.2">
      <c r="B89" s="38" t="s">
        <v>1305</v>
      </c>
      <c r="C89" s="39"/>
      <c r="D89" s="8"/>
      <c r="E89" s="38" t="s">
        <v>1306</v>
      </c>
      <c r="F89" s="39"/>
      <c r="G89" s="30"/>
      <c r="H89" s="30"/>
      <c r="I89" s="30"/>
      <c r="J89" s="90" t="s">
        <v>59</v>
      </c>
      <c r="K89" s="30"/>
      <c r="L89" s="30"/>
      <c r="M89" s="30"/>
      <c r="N89" s="30"/>
      <c r="O89" s="30"/>
      <c r="P89" s="30"/>
      <c r="Q89" s="30"/>
      <c r="R89" s="30"/>
      <c r="S89" s="30"/>
    </row>
    <row r="90" spans="2:19" ht="15" customHeight="1" x14ac:dyDescent="0.2">
      <c r="B90" s="47"/>
      <c r="C90" s="31"/>
      <c r="D90" s="30"/>
      <c r="E90" s="45" t="s">
        <v>55</v>
      </c>
      <c r="F90" s="46">
        <f>O10+O21+O30+O38+O58+O64+O72+O78+O88+O95+O104+O116+O123+O131+O140+O149+O155+O167+O177+O184+O191+O198+O205+O211+O221+O230+O240+O251+O263+O273+O281+O291+O300+O309+O316+O327+O333+O343+O350+O358+O364+O373+O379+O385+O398+O411+O417+O428+O434+O440+O446+O457+O463+O469+O475+O481+O487+O497+O505+O514+O522+O530+O536+O542+O550+O561+O567+O577+O588+O598+O610+O621+O630+O639+O645+O48+O651</f>
        <v>3.528142857142857</v>
      </c>
      <c r="G90" s="30"/>
      <c r="H90" s="30"/>
      <c r="I90" s="30"/>
      <c r="J90" s="7" t="s">
        <v>720</v>
      </c>
      <c r="K90" s="7">
        <v>25</v>
      </c>
      <c r="L90" s="7">
        <v>1000</v>
      </c>
      <c r="M90" s="29">
        <v>1.99</v>
      </c>
      <c r="N90" s="29">
        <f>(M90*K90)/L90</f>
        <v>4.9750000000000003E-2</v>
      </c>
      <c r="O90" s="30"/>
      <c r="P90" s="30"/>
      <c r="Q90" s="30"/>
      <c r="R90" s="30"/>
      <c r="S90" s="30"/>
    </row>
    <row r="91" spans="2:19" ht="15" customHeight="1" x14ac:dyDescent="0.2">
      <c r="B91" s="47"/>
      <c r="C91" s="31"/>
      <c r="D91" s="30"/>
      <c r="E91" s="32"/>
      <c r="F91" s="30"/>
      <c r="G91" s="30"/>
      <c r="H91" s="30"/>
      <c r="I91" s="30"/>
      <c r="J91" s="8" t="s">
        <v>54</v>
      </c>
      <c r="K91" s="7">
        <v>25</v>
      </c>
      <c r="L91" s="7"/>
      <c r="M91" s="44"/>
      <c r="N91" s="29">
        <f>SUM(N90:N90)</f>
        <v>4.9750000000000003E-2</v>
      </c>
      <c r="O91" s="30"/>
      <c r="P91" s="30"/>
      <c r="Q91" s="30"/>
      <c r="R91" s="30"/>
      <c r="S91" s="30"/>
    </row>
    <row r="92" spans="2:19" ht="15" customHeight="1" x14ac:dyDescent="0.2">
      <c r="B92" s="47"/>
      <c r="C92" s="31"/>
      <c r="D92" s="30"/>
      <c r="E92" s="32"/>
      <c r="F92" s="30"/>
      <c r="G92" s="30"/>
      <c r="H92" s="30"/>
      <c r="I92" s="30"/>
      <c r="J92" s="8" t="s">
        <v>52</v>
      </c>
      <c r="K92" s="52">
        <f>L92/K91</f>
        <v>28</v>
      </c>
      <c r="L92" s="8">
        <v>700</v>
      </c>
      <c r="M92" s="29"/>
      <c r="N92" s="29">
        <f>N91*K92</f>
        <v>1.393</v>
      </c>
      <c r="O92" s="30"/>
      <c r="P92" s="30"/>
      <c r="Q92" s="30"/>
      <c r="R92" s="30"/>
      <c r="S92" s="30"/>
    </row>
    <row r="93" spans="2:19" ht="15" customHeight="1" x14ac:dyDescent="0.2">
      <c r="B93" s="47"/>
      <c r="C93" s="31"/>
      <c r="D93" s="30"/>
      <c r="E93" s="32"/>
      <c r="F93" s="30"/>
      <c r="G93" s="30"/>
      <c r="H93" s="30"/>
      <c r="I93" s="30"/>
      <c r="J93" s="8" t="s">
        <v>53</v>
      </c>
      <c r="K93" s="8">
        <f>C15</f>
        <v>0</v>
      </c>
      <c r="L93" s="8">
        <v>700</v>
      </c>
      <c r="M93" s="8"/>
      <c r="N93" s="29">
        <f>N92*K93</f>
        <v>0</v>
      </c>
      <c r="P93" s="30"/>
      <c r="Q93" s="30"/>
      <c r="R93" s="30"/>
      <c r="S93" s="30"/>
    </row>
    <row r="94" spans="2:19" ht="15" customHeight="1" x14ac:dyDescent="0.2">
      <c r="B94" s="47"/>
      <c r="C94" s="31"/>
      <c r="D94" s="30"/>
      <c r="E94" s="32"/>
      <c r="F94" s="30"/>
      <c r="G94" s="30"/>
      <c r="H94" s="30"/>
      <c r="I94" s="30"/>
      <c r="J94" s="8" t="s">
        <v>50</v>
      </c>
      <c r="K94" s="8">
        <f>L94/K91</f>
        <v>0</v>
      </c>
      <c r="L94" s="8">
        <f>F15</f>
        <v>0</v>
      </c>
      <c r="M94" s="8"/>
      <c r="N94" s="29">
        <f>N91*K94</f>
        <v>0</v>
      </c>
      <c r="O94" s="30"/>
      <c r="P94" s="42"/>
      <c r="Q94" s="30"/>
      <c r="R94" s="30"/>
      <c r="S94" s="30"/>
    </row>
    <row r="95" spans="2:19" ht="15" customHeight="1" x14ac:dyDescent="0.2">
      <c r="B95" s="47"/>
      <c r="C95" s="31"/>
      <c r="D95" s="30"/>
      <c r="E95" s="32"/>
      <c r="F95" s="30"/>
      <c r="G95" s="30"/>
      <c r="H95" s="30"/>
      <c r="I95" s="30"/>
      <c r="J95" s="30"/>
      <c r="K95" s="30"/>
      <c r="L95" s="30"/>
      <c r="M95" s="30"/>
      <c r="O95" s="42">
        <f>SUM(N93:N94)</f>
        <v>0</v>
      </c>
      <c r="P95" s="30"/>
      <c r="Q95" s="30"/>
      <c r="R95" s="30"/>
      <c r="S95" s="30"/>
    </row>
    <row r="96" spans="2:19" ht="15" customHeight="1" x14ac:dyDescent="0.2">
      <c r="B96" s="47"/>
      <c r="C96" s="31"/>
      <c r="D96" s="30"/>
      <c r="E96" s="32"/>
      <c r="F96" s="30"/>
      <c r="G96" s="30"/>
      <c r="H96" s="30"/>
      <c r="I96" s="30"/>
      <c r="J96" s="94" t="s">
        <v>1028</v>
      </c>
      <c r="K96" s="30"/>
      <c r="L96" s="30"/>
      <c r="M96" s="30"/>
      <c r="N96" s="30"/>
      <c r="O96" s="30"/>
      <c r="P96" s="30"/>
      <c r="Q96" s="30"/>
      <c r="R96" s="30"/>
      <c r="S96" s="30"/>
    </row>
    <row r="97" spans="2:19" ht="15" customHeight="1" x14ac:dyDescent="0.2">
      <c r="B97" s="47"/>
      <c r="C97" s="31"/>
      <c r="D97" s="30"/>
      <c r="E97" s="32"/>
      <c r="F97" s="30"/>
      <c r="G97" s="30"/>
      <c r="H97" s="30"/>
      <c r="I97" s="30"/>
      <c r="J97" s="7" t="s">
        <v>1029</v>
      </c>
      <c r="K97" s="8">
        <v>25</v>
      </c>
      <c r="L97" s="8">
        <v>1000</v>
      </c>
      <c r="M97" s="29">
        <v>8.5</v>
      </c>
      <c r="N97" s="29">
        <f>M97/L97*K97</f>
        <v>0.21250000000000002</v>
      </c>
      <c r="O97" s="30"/>
      <c r="P97" s="30"/>
      <c r="Q97" s="30"/>
      <c r="R97" s="30"/>
      <c r="S97" s="30"/>
    </row>
    <row r="98" spans="2:19" ht="15" customHeight="1" x14ac:dyDescent="0.2">
      <c r="B98" s="47"/>
      <c r="C98" s="31"/>
      <c r="D98" s="30"/>
      <c r="E98" s="32"/>
      <c r="F98" s="30"/>
      <c r="G98" s="30"/>
      <c r="H98" s="30"/>
      <c r="I98" s="30"/>
      <c r="J98" s="7" t="s">
        <v>739</v>
      </c>
      <c r="K98" s="8">
        <v>15</v>
      </c>
      <c r="L98" s="8">
        <v>700</v>
      </c>
      <c r="M98" s="29">
        <v>13.37</v>
      </c>
      <c r="N98" s="29">
        <f t="shared" ref="N98:N99" si="4">M98/L98*K98</f>
        <v>0.28649999999999998</v>
      </c>
      <c r="O98" s="30"/>
      <c r="P98" s="30"/>
      <c r="Q98" s="30"/>
      <c r="R98" s="30"/>
      <c r="S98" s="30"/>
    </row>
    <row r="99" spans="2:19" ht="15" customHeight="1" x14ac:dyDescent="0.2">
      <c r="B99" s="47"/>
      <c r="C99" s="31"/>
      <c r="D99" s="30"/>
      <c r="E99" s="32" t="s">
        <v>208</v>
      </c>
      <c r="F99" s="30"/>
      <c r="G99" s="30"/>
      <c r="H99" s="30"/>
      <c r="I99" s="30"/>
      <c r="J99" s="7" t="s">
        <v>1030</v>
      </c>
      <c r="K99" s="8">
        <v>5</v>
      </c>
      <c r="L99" s="8">
        <v>700</v>
      </c>
      <c r="M99" s="29">
        <v>15</v>
      </c>
      <c r="N99" s="29">
        <f t="shared" si="4"/>
        <v>0.10714285714285715</v>
      </c>
      <c r="P99" s="30"/>
      <c r="Q99" s="30"/>
      <c r="R99" s="30"/>
      <c r="S99" s="30"/>
    </row>
    <row r="100" spans="2:19" ht="15" customHeight="1" x14ac:dyDescent="0.2">
      <c r="B100" s="47"/>
      <c r="C100" s="31"/>
      <c r="D100" s="30"/>
      <c r="E100" s="32"/>
      <c r="F100" s="30"/>
      <c r="G100" s="30"/>
      <c r="H100" s="30"/>
      <c r="I100" s="30"/>
      <c r="J100" s="7" t="s">
        <v>48</v>
      </c>
      <c r="K100" s="8">
        <f>SUM(K97:K99)</f>
        <v>45</v>
      </c>
      <c r="L100" s="8"/>
      <c r="M100" s="29"/>
      <c r="N100" s="29">
        <f>SUM(N97:N99)</f>
        <v>0.60614285714285709</v>
      </c>
      <c r="O100" s="30"/>
      <c r="P100" s="30"/>
      <c r="Q100" s="30"/>
      <c r="R100" s="30"/>
      <c r="S100" s="30"/>
    </row>
    <row r="101" spans="2:19" ht="15" customHeight="1" x14ac:dyDescent="0.2">
      <c r="B101" s="47"/>
      <c r="C101" s="31"/>
      <c r="D101" s="30"/>
      <c r="E101" s="32"/>
      <c r="F101" s="30"/>
      <c r="G101" s="30"/>
      <c r="H101" s="30"/>
      <c r="I101" s="30"/>
      <c r="J101" s="8" t="s">
        <v>52</v>
      </c>
      <c r="K101" s="52">
        <f>L101/K100</f>
        <v>15.555555555555555</v>
      </c>
      <c r="L101" s="8">
        <v>700</v>
      </c>
      <c r="M101" s="29"/>
      <c r="N101" s="29">
        <f>N100*K101</f>
        <v>9.4288888888888884</v>
      </c>
      <c r="O101" s="30"/>
      <c r="P101" s="30"/>
      <c r="Q101" s="30"/>
      <c r="R101" s="30"/>
      <c r="S101" s="30"/>
    </row>
    <row r="102" spans="2:19" ht="15" customHeight="1" x14ac:dyDescent="0.2">
      <c r="B102" s="47"/>
      <c r="C102" s="31"/>
      <c r="D102" s="30"/>
      <c r="E102" s="32"/>
      <c r="F102" s="30"/>
      <c r="G102" s="30"/>
      <c r="H102" s="30"/>
      <c r="I102" s="30"/>
      <c r="J102" s="7" t="s">
        <v>53</v>
      </c>
      <c r="K102" s="8">
        <f>C16</f>
        <v>0</v>
      </c>
      <c r="L102" s="8">
        <v>700</v>
      </c>
      <c r="M102" s="8"/>
      <c r="N102" s="29">
        <f>N101*K102</f>
        <v>0</v>
      </c>
      <c r="O102" s="30"/>
      <c r="P102" s="30"/>
      <c r="Q102" s="30"/>
      <c r="R102" s="30"/>
      <c r="S102" s="30"/>
    </row>
    <row r="103" spans="2:19" ht="15" customHeight="1" x14ac:dyDescent="0.2">
      <c r="B103" s="47"/>
      <c r="C103" s="31"/>
      <c r="D103" s="30"/>
      <c r="E103" s="32"/>
      <c r="F103" s="30"/>
      <c r="G103" s="30"/>
      <c r="H103" s="30"/>
      <c r="I103" s="30"/>
      <c r="J103" s="7" t="s">
        <v>713</v>
      </c>
      <c r="K103" s="8">
        <f>L103/K100</f>
        <v>0</v>
      </c>
      <c r="L103" s="8">
        <f>F16</f>
        <v>0</v>
      </c>
      <c r="M103" s="8"/>
      <c r="N103" s="29">
        <f>N97*K103</f>
        <v>0</v>
      </c>
      <c r="O103" s="30"/>
      <c r="P103" s="30"/>
      <c r="Q103" s="30"/>
      <c r="R103" s="30"/>
      <c r="S103" s="30"/>
    </row>
    <row r="104" spans="2:19" ht="15" customHeight="1" x14ac:dyDescent="0.2">
      <c r="B104" s="47"/>
      <c r="C104" s="31"/>
      <c r="D104" s="30"/>
      <c r="E104" s="32"/>
      <c r="F104" s="30"/>
      <c r="G104" s="30"/>
      <c r="H104" s="30"/>
      <c r="I104" s="30"/>
      <c r="J104" s="30"/>
      <c r="K104" s="30"/>
      <c r="L104" s="30"/>
      <c r="M104" s="30"/>
      <c r="O104" s="42">
        <f>SUM(N102:N103)</f>
        <v>0</v>
      </c>
      <c r="P104" s="30"/>
      <c r="Q104" s="30"/>
      <c r="R104" s="30"/>
      <c r="S104" s="30"/>
    </row>
    <row r="105" spans="2:19" ht="15" customHeight="1" x14ac:dyDescent="0.2">
      <c r="B105" s="30"/>
      <c r="C105" s="31"/>
      <c r="D105" s="30"/>
      <c r="E105" s="32"/>
      <c r="F105" s="30"/>
      <c r="G105" s="30"/>
      <c r="H105" s="30"/>
      <c r="I105" s="30"/>
      <c r="J105" s="94" t="s">
        <v>1031</v>
      </c>
      <c r="K105" s="30"/>
      <c r="L105" s="30"/>
      <c r="M105" s="30"/>
      <c r="N105" s="30"/>
      <c r="O105" s="30"/>
      <c r="P105" s="30"/>
      <c r="Q105" s="30"/>
      <c r="R105" s="30"/>
      <c r="S105" s="30"/>
    </row>
    <row r="106" spans="2:19" ht="15" customHeight="1" x14ac:dyDescent="0.2">
      <c r="B106" s="30"/>
      <c r="C106" s="31"/>
      <c r="D106" s="30"/>
      <c r="E106" s="32"/>
      <c r="F106" s="30"/>
      <c r="G106" s="30"/>
      <c r="H106" s="30"/>
      <c r="I106" s="30"/>
      <c r="J106" s="7" t="s">
        <v>1032</v>
      </c>
      <c r="K106" s="8">
        <v>10</v>
      </c>
      <c r="L106" s="8">
        <v>700</v>
      </c>
      <c r="M106" s="29">
        <v>25</v>
      </c>
      <c r="N106" s="29">
        <f>(M106*K106)/L106</f>
        <v>0.35714285714285715</v>
      </c>
      <c r="O106" s="30"/>
      <c r="P106" s="30"/>
      <c r="Q106" s="30"/>
      <c r="R106" s="30"/>
      <c r="S106" s="30"/>
    </row>
    <row r="107" spans="2:19" ht="15" customHeight="1" x14ac:dyDescent="0.2">
      <c r="B107" s="30"/>
      <c r="C107" s="31"/>
      <c r="D107" s="30"/>
      <c r="E107" s="32"/>
      <c r="F107" s="30"/>
      <c r="G107" s="30"/>
      <c r="H107" s="30"/>
      <c r="I107" s="30"/>
      <c r="J107" s="7" t="s">
        <v>1033</v>
      </c>
      <c r="K107" s="8">
        <v>10</v>
      </c>
      <c r="L107" s="8">
        <v>700</v>
      </c>
      <c r="M107" s="29">
        <v>20</v>
      </c>
      <c r="N107" s="29">
        <f t="shared" ref="N107:N109" si="5">(M107*K107)/L107</f>
        <v>0.2857142857142857</v>
      </c>
      <c r="O107" s="30"/>
      <c r="P107" s="30"/>
      <c r="Q107" s="30"/>
      <c r="R107" s="30"/>
      <c r="S107" s="30"/>
    </row>
    <row r="108" spans="2:19" ht="15" customHeight="1" x14ac:dyDescent="0.2">
      <c r="B108" s="30"/>
      <c r="C108" s="31"/>
      <c r="D108" s="30"/>
      <c r="E108" s="32"/>
      <c r="F108" s="30"/>
      <c r="G108" s="30"/>
      <c r="H108" s="30"/>
      <c r="I108" s="30"/>
      <c r="J108" s="7" t="s">
        <v>1034</v>
      </c>
      <c r="K108" s="8">
        <v>55</v>
      </c>
      <c r="L108" s="8">
        <v>1000</v>
      </c>
      <c r="M108" s="29">
        <v>2.4500000000000002</v>
      </c>
      <c r="N108" s="29">
        <f t="shared" si="5"/>
        <v>0.13475000000000001</v>
      </c>
      <c r="P108" s="30"/>
      <c r="Q108" s="30"/>
      <c r="R108" s="30"/>
      <c r="S108" s="30"/>
    </row>
    <row r="109" spans="2:19" ht="15" customHeight="1" x14ac:dyDescent="0.2">
      <c r="B109" s="30"/>
      <c r="C109" s="31"/>
      <c r="D109" s="30"/>
      <c r="E109" s="32"/>
      <c r="F109" s="30"/>
      <c r="G109" s="30"/>
      <c r="H109" s="30"/>
      <c r="I109" s="30"/>
      <c r="J109" s="7" t="s">
        <v>1035</v>
      </c>
      <c r="K109" s="8">
        <v>45</v>
      </c>
      <c r="L109" s="8">
        <v>970</v>
      </c>
      <c r="M109" s="29">
        <v>8</v>
      </c>
      <c r="N109" s="29">
        <f t="shared" si="5"/>
        <v>0.37113402061855671</v>
      </c>
      <c r="O109" s="30"/>
      <c r="P109" s="30"/>
      <c r="Q109" s="30"/>
      <c r="R109" s="30"/>
      <c r="S109" s="30"/>
    </row>
    <row r="110" spans="2:19" ht="15" customHeight="1" x14ac:dyDescent="0.2">
      <c r="B110" s="30"/>
      <c r="C110" s="31"/>
      <c r="D110" s="30"/>
      <c r="E110" s="32"/>
      <c r="F110" s="30"/>
      <c r="G110" s="30"/>
      <c r="H110" s="30"/>
      <c r="I110" s="30"/>
      <c r="J110" s="7" t="s">
        <v>1036</v>
      </c>
      <c r="K110" s="8">
        <v>20</v>
      </c>
      <c r="L110" s="8">
        <v>1000</v>
      </c>
      <c r="M110" s="29">
        <v>8.33</v>
      </c>
      <c r="N110" s="29">
        <f t="shared" ref="N110:N111" si="6">(M110*K110)/L110</f>
        <v>0.1666</v>
      </c>
      <c r="O110" s="30"/>
      <c r="P110" s="30"/>
      <c r="Q110" s="30"/>
      <c r="R110" s="30"/>
      <c r="S110" s="30"/>
    </row>
    <row r="111" spans="2:19" ht="15" customHeight="1" x14ac:dyDescent="0.2">
      <c r="B111" s="30"/>
      <c r="C111" s="31"/>
      <c r="D111" s="30"/>
      <c r="E111" s="32"/>
      <c r="F111" s="30"/>
      <c r="G111" s="30"/>
      <c r="H111" s="30"/>
      <c r="I111" s="30"/>
      <c r="J111" s="7" t="s">
        <v>1037</v>
      </c>
      <c r="K111" s="8">
        <v>10</v>
      </c>
      <c r="L111" s="8">
        <v>700</v>
      </c>
      <c r="M111" s="29">
        <v>6.9</v>
      </c>
      <c r="N111" s="29">
        <f t="shared" si="6"/>
        <v>9.8571428571428574E-2</v>
      </c>
      <c r="O111" s="30"/>
      <c r="P111" s="30"/>
      <c r="Q111" s="30"/>
      <c r="R111" s="30"/>
      <c r="S111" s="30"/>
    </row>
    <row r="112" spans="2:19" ht="15" customHeight="1" x14ac:dyDescent="0.2">
      <c r="B112" s="30"/>
      <c r="C112" s="31"/>
      <c r="D112" s="30"/>
      <c r="E112" s="32"/>
      <c r="F112" s="30"/>
      <c r="G112" s="30"/>
      <c r="H112" s="30"/>
      <c r="I112" s="30"/>
      <c r="J112" s="7" t="s">
        <v>48</v>
      </c>
      <c r="K112" s="8">
        <f>SUM(K106:K111)</f>
        <v>150</v>
      </c>
      <c r="L112" s="8"/>
      <c r="M112" s="8"/>
      <c r="N112" s="29">
        <f>SUM(N106:N111)</f>
        <v>1.413912592047128</v>
      </c>
      <c r="O112" s="30"/>
      <c r="P112" s="30"/>
      <c r="Q112" s="30"/>
      <c r="R112" s="30"/>
      <c r="S112" s="30"/>
    </row>
    <row r="113" spans="2:19" ht="15" customHeight="1" x14ac:dyDescent="0.2">
      <c r="B113" s="30"/>
      <c r="C113" s="31"/>
      <c r="D113" s="30"/>
      <c r="E113" s="32"/>
      <c r="F113" s="30"/>
      <c r="G113" s="30"/>
      <c r="H113" s="30"/>
      <c r="I113" s="30"/>
      <c r="J113" s="8" t="s">
        <v>52</v>
      </c>
      <c r="K113" s="8">
        <f>L113/K112</f>
        <v>4.666666666666667</v>
      </c>
      <c r="L113" s="8">
        <v>700</v>
      </c>
      <c r="M113" s="8"/>
      <c r="N113" s="29">
        <f>N112*K113</f>
        <v>6.5982587628865979</v>
      </c>
      <c r="O113" s="30"/>
      <c r="P113" s="30"/>
      <c r="Q113" s="30"/>
      <c r="R113" s="30"/>
      <c r="S113" s="30"/>
    </row>
    <row r="114" spans="2:19" ht="15" customHeight="1" x14ac:dyDescent="0.2">
      <c r="B114" s="30"/>
      <c r="C114" s="31"/>
      <c r="D114" s="30"/>
      <c r="E114" s="32"/>
      <c r="F114" s="30"/>
      <c r="G114" s="30"/>
      <c r="H114" s="30"/>
      <c r="I114" s="30"/>
      <c r="J114" s="7" t="s">
        <v>53</v>
      </c>
      <c r="K114" s="8">
        <f>C18</f>
        <v>0</v>
      </c>
      <c r="L114" s="8">
        <v>700</v>
      </c>
      <c r="M114" s="8"/>
      <c r="N114" s="29">
        <f>N113*K114</f>
        <v>0</v>
      </c>
      <c r="O114" s="30"/>
      <c r="P114" s="30"/>
      <c r="Q114" s="30"/>
      <c r="R114" s="30"/>
      <c r="S114" s="30"/>
    </row>
    <row r="115" spans="2:19" ht="15" customHeight="1" x14ac:dyDescent="0.2">
      <c r="B115" s="30"/>
      <c r="C115" s="31"/>
      <c r="D115" s="30"/>
      <c r="E115" s="32"/>
      <c r="F115" s="30"/>
      <c r="G115" s="30"/>
      <c r="H115" s="30"/>
      <c r="I115" s="30"/>
      <c r="J115" s="7" t="s">
        <v>1038</v>
      </c>
      <c r="K115" s="8">
        <f>L115/K112</f>
        <v>0</v>
      </c>
      <c r="L115" s="8">
        <f>F18</f>
        <v>0</v>
      </c>
      <c r="M115" s="8"/>
      <c r="N115" s="29">
        <f>N112*K115</f>
        <v>0</v>
      </c>
      <c r="O115" s="30"/>
      <c r="P115" s="30"/>
      <c r="Q115" s="30"/>
      <c r="R115" s="30"/>
      <c r="S115" s="30"/>
    </row>
    <row r="116" spans="2:19" ht="15" customHeight="1" x14ac:dyDescent="0.2">
      <c r="B116" s="30"/>
      <c r="C116" s="31"/>
      <c r="D116" s="30"/>
      <c r="E116" s="32"/>
      <c r="F116" s="30"/>
      <c r="G116" s="30"/>
      <c r="H116" s="30"/>
      <c r="I116" s="30"/>
      <c r="J116" s="30"/>
      <c r="K116" s="30"/>
      <c r="L116" s="30"/>
      <c r="M116" s="30"/>
      <c r="O116" s="42">
        <f>SUM(N114:N115)</f>
        <v>0</v>
      </c>
      <c r="P116" s="30"/>
      <c r="Q116" s="30"/>
      <c r="R116" s="30"/>
      <c r="S116" s="30"/>
    </row>
    <row r="117" spans="2:19" ht="15" customHeight="1" x14ac:dyDescent="0.2">
      <c r="B117" s="30"/>
      <c r="C117" s="31"/>
      <c r="D117" s="30"/>
      <c r="E117" s="32"/>
      <c r="F117" s="30"/>
      <c r="G117" s="30"/>
      <c r="H117" s="30"/>
      <c r="I117" s="30"/>
      <c r="J117" s="212" t="s">
        <v>1039</v>
      </c>
      <c r="K117" s="30"/>
      <c r="L117" s="30"/>
      <c r="M117" s="30"/>
      <c r="N117" s="30"/>
      <c r="P117" s="30"/>
      <c r="Q117" s="30"/>
      <c r="R117" s="30"/>
      <c r="S117" s="30"/>
    </row>
    <row r="118" spans="2:19" ht="15" customHeight="1" x14ac:dyDescent="0.2">
      <c r="B118" s="30"/>
      <c r="C118" s="31"/>
      <c r="D118" s="30"/>
      <c r="E118" s="32"/>
      <c r="F118" s="30"/>
      <c r="G118" s="30"/>
      <c r="H118" s="30"/>
      <c r="I118" s="30"/>
      <c r="J118" s="7" t="s">
        <v>1039</v>
      </c>
      <c r="K118" s="8">
        <v>30</v>
      </c>
      <c r="L118" s="8">
        <v>1000</v>
      </c>
      <c r="M118" s="29">
        <v>16</v>
      </c>
      <c r="N118" s="29">
        <f>(M118*K118)/L118</f>
        <v>0.48</v>
      </c>
      <c r="O118" s="30"/>
      <c r="P118" s="30"/>
      <c r="Q118" s="30"/>
      <c r="R118" s="30"/>
      <c r="S118" s="30"/>
    </row>
    <row r="119" spans="2:19" ht="15" customHeight="1" x14ac:dyDescent="0.2">
      <c r="B119" s="30"/>
      <c r="C119" s="31"/>
      <c r="D119" s="30"/>
      <c r="E119" s="32"/>
      <c r="F119" s="30"/>
      <c r="G119" s="30"/>
      <c r="H119" s="30"/>
      <c r="I119" s="30"/>
      <c r="J119" s="7" t="s">
        <v>48</v>
      </c>
      <c r="K119" s="8">
        <f>SUM(K118:K118)</f>
        <v>30</v>
      </c>
      <c r="L119" s="8"/>
      <c r="M119" s="8"/>
      <c r="N119" s="29">
        <f>SUM(N118:N118)</f>
        <v>0.48</v>
      </c>
      <c r="O119" s="30"/>
      <c r="P119" s="30"/>
      <c r="Q119" s="30"/>
      <c r="R119" s="30"/>
      <c r="S119" s="30"/>
    </row>
    <row r="120" spans="2:19" ht="15" customHeight="1" x14ac:dyDescent="0.2">
      <c r="B120" s="30"/>
      <c r="C120" s="31"/>
      <c r="D120" s="30"/>
      <c r="E120" s="32"/>
      <c r="F120" s="30"/>
      <c r="G120" s="30"/>
      <c r="H120" s="30"/>
      <c r="I120" s="30"/>
      <c r="J120" s="8" t="s">
        <v>52</v>
      </c>
      <c r="K120" s="8">
        <f>L120/K119</f>
        <v>23.333333333333332</v>
      </c>
      <c r="L120" s="8">
        <v>700</v>
      </c>
      <c r="M120" s="8"/>
      <c r="N120" s="29">
        <f>N119*K120</f>
        <v>11.2</v>
      </c>
      <c r="O120" s="30"/>
      <c r="P120" s="30"/>
      <c r="Q120" s="30"/>
      <c r="R120" s="30"/>
      <c r="S120" s="30"/>
    </row>
    <row r="121" spans="2:19" ht="15" customHeight="1" x14ac:dyDescent="0.2">
      <c r="B121" s="30"/>
      <c r="C121" s="31"/>
      <c r="D121" s="30"/>
      <c r="E121" s="32"/>
      <c r="F121" s="30"/>
      <c r="G121" s="30"/>
      <c r="H121" s="30"/>
      <c r="I121" s="30"/>
      <c r="J121" s="7" t="s">
        <v>53</v>
      </c>
      <c r="K121" s="8">
        <f>C22</f>
        <v>0</v>
      </c>
      <c r="L121" s="8">
        <v>700</v>
      </c>
      <c r="M121" s="8"/>
      <c r="N121" s="29">
        <f>N119*K121</f>
        <v>0</v>
      </c>
      <c r="O121" s="30"/>
      <c r="P121" s="30"/>
      <c r="Q121" s="30"/>
      <c r="R121" s="30"/>
      <c r="S121" s="30"/>
    </row>
    <row r="122" spans="2:19" ht="15" customHeight="1" x14ac:dyDescent="0.2">
      <c r="B122" s="30"/>
      <c r="C122" s="31"/>
      <c r="D122" s="30"/>
      <c r="E122" s="32"/>
      <c r="F122" s="30"/>
      <c r="G122" s="30"/>
      <c r="H122" s="30"/>
      <c r="I122" s="30"/>
      <c r="J122" s="7" t="s">
        <v>822</v>
      </c>
      <c r="K122" s="8">
        <f>L122/K119</f>
        <v>0</v>
      </c>
      <c r="L122" s="8">
        <f>F22</f>
        <v>0</v>
      </c>
      <c r="M122" s="8"/>
      <c r="N122" s="29">
        <f>N119*K122</f>
        <v>0</v>
      </c>
      <c r="O122" s="30"/>
      <c r="P122" s="30"/>
      <c r="Q122" s="30"/>
      <c r="R122" s="30"/>
      <c r="S122" s="30"/>
    </row>
    <row r="123" spans="2:19" ht="15" customHeight="1" x14ac:dyDescent="0.2">
      <c r="B123" s="30"/>
      <c r="C123" s="31"/>
      <c r="D123" s="30"/>
      <c r="E123" s="32"/>
      <c r="F123" s="30"/>
      <c r="G123" s="30"/>
      <c r="H123" s="30"/>
      <c r="I123" s="30"/>
      <c r="J123" s="30"/>
      <c r="K123" s="30"/>
      <c r="L123" s="30"/>
      <c r="M123" s="30"/>
      <c r="O123" s="42">
        <f>SUM(N121:N122)</f>
        <v>0</v>
      </c>
      <c r="P123" s="30"/>
      <c r="Q123" s="30"/>
      <c r="R123" s="30"/>
      <c r="S123" s="30"/>
    </row>
    <row r="124" spans="2:19" ht="15" customHeight="1" x14ac:dyDescent="0.2">
      <c r="B124" s="30"/>
      <c r="C124" s="31"/>
      <c r="D124" s="30"/>
      <c r="E124" s="32"/>
      <c r="F124" s="30"/>
      <c r="G124" s="30"/>
      <c r="H124" s="30"/>
      <c r="I124" s="30"/>
      <c r="J124" s="94" t="s">
        <v>723</v>
      </c>
      <c r="K124" s="30"/>
      <c r="L124" s="30"/>
      <c r="M124" s="30"/>
      <c r="N124" s="30"/>
      <c r="O124" s="30"/>
      <c r="P124" s="30"/>
      <c r="Q124" s="30"/>
      <c r="R124" s="30"/>
      <c r="S124" s="30"/>
    </row>
    <row r="125" spans="2:19" ht="15" customHeight="1" x14ac:dyDescent="0.2">
      <c r="B125" s="30"/>
      <c r="C125" s="31"/>
      <c r="D125" s="30"/>
      <c r="E125" s="32"/>
      <c r="F125" s="30"/>
      <c r="G125" s="30"/>
      <c r="H125" s="30"/>
      <c r="I125" s="30"/>
      <c r="J125" s="7" t="s">
        <v>724</v>
      </c>
      <c r="K125" s="8">
        <v>10</v>
      </c>
      <c r="L125" s="8">
        <v>700</v>
      </c>
      <c r="M125" s="29">
        <f>'Productos-precio'!D132</f>
        <v>12.72</v>
      </c>
      <c r="N125" s="29">
        <f>M125*K125/L125</f>
        <v>0.18171428571428572</v>
      </c>
      <c r="P125" s="30"/>
      <c r="Q125" s="30"/>
      <c r="R125" s="30"/>
      <c r="S125" s="30"/>
    </row>
    <row r="126" spans="2:19" ht="15" customHeight="1" x14ac:dyDescent="0.2">
      <c r="B126" s="30"/>
      <c r="C126" s="31"/>
      <c r="D126" s="30"/>
      <c r="E126" s="32"/>
      <c r="F126" s="30"/>
      <c r="G126" s="30"/>
      <c r="H126" s="30"/>
      <c r="I126" s="30"/>
      <c r="J126" s="7" t="s">
        <v>725</v>
      </c>
      <c r="K126" s="8">
        <v>10</v>
      </c>
      <c r="L126" s="8">
        <v>700</v>
      </c>
      <c r="M126" s="29">
        <v>24</v>
      </c>
      <c r="N126" s="29">
        <f>M126*K126/L126</f>
        <v>0.34285714285714286</v>
      </c>
      <c r="O126" s="30"/>
      <c r="P126" s="30"/>
      <c r="Q126" s="30"/>
      <c r="R126" s="30"/>
      <c r="S126" s="30"/>
    </row>
    <row r="127" spans="2:19" ht="15" customHeight="1" x14ac:dyDescent="0.2">
      <c r="B127" s="30"/>
      <c r="C127" s="31"/>
      <c r="D127" s="30"/>
      <c r="E127" s="32"/>
      <c r="F127" s="30"/>
      <c r="G127" s="30"/>
      <c r="H127" s="30"/>
      <c r="I127" s="30"/>
      <c r="J127" s="8" t="s">
        <v>714</v>
      </c>
      <c r="K127" s="8">
        <v>20</v>
      </c>
      <c r="L127" s="8"/>
      <c r="M127" s="29"/>
      <c r="N127" s="29">
        <f>SUM(N125:N126)</f>
        <v>0.52457142857142858</v>
      </c>
      <c r="O127" s="30"/>
      <c r="P127" s="30"/>
      <c r="Q127" s="30"/>
      <c r="R127" s="30"/>
      <c r="S127" s="30"/>
    </row>
    <row r="128" spans="2:19" ht="15" customHeight="1" x14ac:dyDescent="0.2">
      <c r="B128" s="30"/>
      <c r="C128" s="31"/>
      <c r="D128" s="30"/>
      <c r="E128" s="32"/>
      <c r="F128" s="30"/>
      <c r="G128" s="30"/>
      <c r="H128" s="30"/>
      <c r="I128" s="30"/>
      <c r="J128" s="8" t="s">
        <v>52</v>
      </c>
      <c r="K128" s="8">
        <f>L128/K127</f>
        <v>35</v>
      </c>
      <c r="L128" s="8">
        <v>700</v>
      </c>
      <c r="M128" s="8"/>
      <c r="N128" s="29">
        <f>N127*K128</f>
        <v>18.36</v>
      </c>
      <c r="O128" s="30"/>
      <c r="P128" s="30"/>
      <c r="Q128" s="30"/>
      <c r="R128" s="30"/>
      <c r="S128" s="30"/>
    </row>
    <row r="129" spans="2:19" ht="15" customHeight="1" x14ac:dyDescent="0.2">
      <c r="B129" s="30"/>
      <c r="C129" s="31"/>
      <c r="D129" s="30"/>
      <c r="E129" s="32"/>
      <c r="F129" s="30"/>
      <c r="G129" s="30"/>
      <c r="H129" s="30"/>
      <c r="I129" s="30"/>
      <c r="J129" s="8" t="s">
        <v>53</v>
      </c>
      <c r="K129" s="8">
        <f>C19</f>
        <v>0</v>
      </c>
      <c r="L129" s="8">
        <v>700</v>
      </c>
      <c r="M129" s="29"/>
      <c r="N129" s="29">
        <f>(K129*N128)</f>
        <v>0</v>
      </c>
      <c r="O129" s="30"/>
      <c r="P129" s="30"/>
      <c r="Q129" s="30"/>
      <c r="R129" s="30"/>
      <c r="S129" s="30"/>
    </row>
    <row r="130" spans="2:19" ht="15" customHeight="1" x14ac:dyDescent="0.2">
      <c r="B130" s="30"/>
      <c r="C130" s="31"/>
      <c r="D130" s="30"/>
      <c r="E130" s="32"/>
      <c r="F130" s="30"/>
      <c r="G130" s="30"/>
      <c r="H130" s="30"/>
      <c r="I130" s="30"/>
      <c r="J130" s="8" t="s">
        <v>713</v>
      </c>
      <c r="K130" s="8">
        <f>L130/K127</f>
        <v>0</v>
      </c>
      <c r="L130" s="8">
        <f>F19</f>
        <v>0</v>
      </c>
      <c r="M130" s="8"/>
      <c r="N130" s="29">
        <f>N127*K130</f>
        <v>0</v>
      </c>
      <c r="O130" s="30"/>
      <c r="P130" s="30"/>
      <c r="Q130" s="30"/>
      <c r="R130" s="30"/>
      <c r="S130" s="30"/>
    </row>
    <row r="131" spans="2:19" ht="15" customHeight="1" x14ac:dyDescent="0.2">
      <c r="B131" s="30"/>
      <c r="C131" s="31"/>
      <c r="D131" s="30"/>
      <c r="E131" s="32"/>
      <c r="F131" s="30"/>
      <c r="G131" s="30"/>
      <c r="H131" s="30"/>
      <c r="I131" s="30"/>
      <c r="J131" s="30"/>
      <c r="K131" s="30"/>
      <c r="L131" s="30"/>
      <c r="M131" s="30"/>
      <c r="O131" s="42">
        <f>SUM(N129:N130)</f>
        <v>0</v>
      </c>
      <c r="P131" s="30"/>
      <c r="Q131" s="30"/>
      <c r="R131" s="30"/>
      <c r="S131" s="30"/>
    </row>
    <row r="132" spans="2:19" ht="15" customHeight="1" x14ac:dyDescent="0.2">
      <c r="B132" s="30"/>
      <c r="C132" s="31"/>
      <c r="D132" s="30"/>
      <c r="E132" s="32"/>
      <c r="F132" s="30"/>
      <c r="G132" s="30"/>
      <c r="H132" s="30"/>
      <c r="I132" s="30"/>
      <c r="J132" s="90" t="s">
        <v>1043</v>
      </c>
      <c r="K132" s="30"/>
      <c r="L132" s="30"/>
      <c r="M132" s="30"/>
      <c r="N132" s="30"/>
      <c r="O132" s="30"/>
      <c r="P132" s="30"/>
      <c r="Q132" s="30"/>
      <c r="R132" s="30"/>
      <c r="S132" s="30"/>
    </row>
    <row r="133" spans="2:19" ht="15" customHeight="1" x14ac:dyDescent="0.2">
      <c r="B133" s="30"/>
      <c r="C133" s="31"/>
      <c r="D133" s="30"/>
      <c r="E133" s="32"/>
      <c r="F133" s="30"/>
      <c r="G133" s="30"/>
      <c r="H133" s="30"/>
      <c r="I133" s="30"/>
      <c r="J133" s="7" t="s">
        <v>1044</v>
      </c>
      <c r="K133" s="8">
        <v>30</v>
      </c>
      <c r="L133" s="8">
        <v>1000</v>
      </c>
      <c r="M133" s="29">
        <v>22.56</v>
      </c>
      <c r="N133" s="29">
        <f>(M133*K133)/L133</f>
        <v>0.67679999999999996</v>
      </c>
      <c r="O133" s="30"/>
      <c r="P133" s="30"/>
      <c r="Q133" s="30"/>
      <c r="R133" s="30"/>
      <c r="S133" s="30"/>
    </row>
    <row r="134" spans="2:19" ht="15" customHeight="1" x14ac:dyDescent="0.2">
      <c r="B134" s="30"/>
      <c r="C134" s="31"/>
      <c r="D134" s="30"/>
      <c r="E134" s="32"/>
      <c r="F134" s="30"/>
      <c r="G134" s="30"/>
      <c r="H134" s="30"/>
      <c r="I134" s="30"/>
      <c r="J134" s="7" t="s">
        <v>1045</v>
      </c>
      <c r="K134" s="8">
        <v>30</v>
      </c>
      <c r="L134" s="8">
        <v>1000</v>
      </c>
      <c r="M134" s="29">
        <v>9</v>
      </c>
      <c r="N134" s="29">
        <f t="shared" ref="N134:N135" si="7">(M134*K134)/L134</f>
        <v>0.27</v>
      </c>
      <c r="P134" s="30"/>
      <c r="Q134" s="30"/>
      <c r="R134" s="30"/>
      <c r="S134" s="30"/>
    </row>
    <row r="135" spans="2:19" ht="15" customHeight="1" x14ac:dyDescent="0.2">
      <c r="B135" s="30"/>
      <c r="C135" s="31"/>
      <c r="D135" s="30"/>
      <c r="E135" s="32"/>
      <c r="F135" s="30"/>
      <c r="G135" s="30"/>
      <c r="H135" s="30"/>
      <c r="I135" s="30"/>
      <c r="J135" s="7" t="s">
        <v>1046</v>
      </c>
      <c r="K135" s="8">
        <v>25</v>
      </c>
      <c r="L135" s="8">
        <v>1000</v>
      </c>
      <c r="M135" s="29">
        <v>2.57</v>
      </c>
      <c r="N135" s="29">
        <f t="shared" si="7"/>
        <v>6.4250000000000002E-2</v>
      </c>
      <c r="O135" s="30"/>
      <c r="P135" s="30"/>
      <c r="Q135" s="30"/>
      <c r="R135" s="30"/>
      <c r="S135" s="30"/>
    </row>
    <row r="136" spans="2:19" ht="15" customHeight="1" x14ac:dyDescent="0.2">
      <c r="B136" s="30"/>
      <c r="C136" s="31"/>
      <c r="D136" s="30"/>
      <c r="E136" s="32"/>
      <c r="F136" s="30"/>
      <c r="G136" s="30"/>
      <c r="H136" s="30"/>
      <c r="I136" s="30"/>
      <c r="J136" s="7" t="s">
        <v>48</v>
      </c>
      <c r="K136" s="8">
        <f>SUM(K133:K135)</f>
        <v>85</v>
      </c>
      <c r="L136" s="8"/>
      <c r="M136" s="8"/>
      <c r="N136" s="29">
        <f>SUM(N133:N135)</f>
        <v>1.01105</v>
      </c>
      <c r="O136" s="30"/>
      <c r="P136" s="30"/>
      <c r="Q136" s="30"/>
      <c r="R136" s="30"/>
      <c r="S136" s="30"/>
    </row>
    <row r="137" spans="2:19" ht="15" customHeight="1" x14ac:dyDescent="0.2">
      <c r="B137" s="30"/>
      <c r="C137" s="31"/>
      <c r="D137" s="30"/>
      <c r="E137" s="32"/>
      <c r="F137" s="30"/>
      <c r="G137" s="30"/>
      <c r="H137" s="30"/>
      <c r="I137" s="30"/>
      <c r="J137" s="8" t="s">
        <v>52</v>
      </c>
      <c r="K137" s="8">
        <f>L137/K136</f>
        <v>8.235294117647058</v>
      </c>
      <c r="L137" s="8">
        <v>700</v>
      </c>
      <c r="M137" s="8"/>
      <c r="N137" s="29">
        <f>N136*K137</f>
        <v>8.3262941176470573</v>
      </c>
      <c r="O137" s="30"/>
      <c r="P137" s="30"/>
      <c r="Q137" s="30"/>
      <c r="R137" s="30"/>
      <c r="S137" s="30"/>
    </row>
    <row r="138" spans="2:19" ht="15" customHeight="1" x14ac:dyDescent="0.2">
      <c r="B138" s="30"/>
      <c r="C138" s="31"/>
      <c r="D138" s="30"/>
      <c r="E138" s="32"/>
      <c r="F138" s="30"/>
      <c r="G138" s="30"/>
      <c r="H138" s="30"/>
      <c r="I138" s="30"/>
      <c r="J138" s="7" t="s">
        <v>53</v>
      </c>
      <c r="K138" s="8">
        <f>C20</f>
        <v>0</v>
      </c>
      <c r="L138" s="8">
        <v>700</v>
      </c>
      <c r="M138" s="8"/>
      <c r="N138" s="29">
        <f>N137*K138</f>
        <v>0</v>
      </c>
      <c r="O138" s="30"/>
      <c r="P138" s="30"/>
      <c r="Q138" s="30"/>
      <c r="R138" s="30"/>
      <c r="S138" s="30"/>
    </row>
    <row r="139" spans="2:19" ht="15" customHeight="1" x14ac:dyDescent="0.2">
      <c r="B139" s="30"/>
      <c r="C139" s="31"/>
      <c r="D139" s="30"/>
      <c r="E139" s="32"/>
      <c r="F139" s="30"/>
      <c r="G139" s="30"/>
      <c r="H139" s="30"/>
      <c r="I139" s="30"/>
      <c r="J139" s="7" t="s">
        <v>713</v>
      </c>
      <c r="K139" s="8">
        <f>L139/K136</f>
        <v>0</v>
      </c>
      <c r="L139" s="8">
        <f>F20</f>
        <v>0</v>
      </c>
      <c r="M139" s="8"/>
      <c r="N139" s="29">
        <f>N136*K139</f>
        <v>0</v>
      </c>
      <c r="O139" s="30"/>
      <c r="P139" s="30"/>
      <c r="Q139" s="30"/>
      <c r="R139" s="30"/>
      <c r="S139" s="30"/>
    </row>
    <row r="140" spans="2:19" ht="15" customHeight="1" x14ac:dyDescent="0.2">
      <c r="B140" s="30"/>
      <c r="C140" s="31"/>
      <c r="D140" s="30"/>
      <c r="E140" s="32"/>
      <c r="F140" s="30"/>
      <c r="G140" s="30"/>
      <c r="H140" s="30"/>
      <c r="I140" s="30"/>
      <c r="J140" s="30"/>
      <c r="K140" s="30"/>
      <c r="L140" s="30"/>
      <c r="M140" s="30"/>
      <c r="O140" s="42">
        <f>SUM(N138:N139)</f>
        <v>0</v>
      </c>
      <c r="P140" s="30"/>
      <c r="Q140" s="30"/>
      <c r="R140" s="30"/>
      <c r="S140" s="30"/>
    </row>
    <row r="141" spans="2:19" ht="15" customHeight="1" x14ac:dyDescent="0.2">
      <c r="B141" s="30"/>
      <c r="C141" s="31"/>
      <c r="D141" s="30"/>
      <c r="E141" s="32"/>
      <c r="F141" s="30"/>
      <c r="G141" s="30"/>
      <c r="H141" s="30"/>
      <c r="I141" s="30"/>
      <c r="J141" s="185" t="s">
        <v>1047</v>
      </c>
      <c r="K141" s="184"/>
      <c r="L141" s="30"/>
      <c r="M141" s="30"/>
      <c r="N141" s="30"/>
      <c r="O141" s="30"/>
      <c r="P141" s="30"/>
      <c r="Q141" s="30"/>
      <c r="R141" s="30"/>
      <c r="S141" s="30"/>
    </row>
    <row r="142" spans="2:19" ht="15" customHeight="1" x14ac:dyDescent="0.2">
      <c r="B142" s="30"/>
      <c r="C142" s="31"/>
      <c r="D142" s="30"/>
      <c r="E142" s="32"/>
      <c r="F142" s="30"/>
      <c r="G142" s="30"/>
      <c r="H142" s="30"/>
      <c r="I142" s="30"/>
      <c r="J142" s="7" t="s">
        <v>1048</v>
      </c>
      <c r="K142" s="8">
        <v>40</v>
      </c>
      <c r="L142" s="8">
        <v>500</v>
      </c>
      <c r="M142" s="29">
        <v>12.54</v>
      </c>
      <c r="N142" s="29">
        <f>(M142*K142)/L142</f>
        <v>1.0031999999999999</v>
      </c>
      <c r="P142" s="30"/>
      <c r="Q142" s="30"/>
      <c r="R142" s="30"/>
      <c r="S142" s="30"/>
    </row>
    <row r="143" spans="2:19" ht="15" customHeight="1" x14ac:dyDescent="0.2">
      <c r="B143" s="30"/>
      <c r="C143" s="31"/>
      <c r="D143" s="30"/>
      <c r="E143" s="32"/>
      <c r="F143" s="30"/>
      <c r="G143" s="30"/>
      <c r="H143" s="30"/>
      <c r="I143" s="30"/>
      <c r="J143" s="7" t="s">
        <v>1049</v>
      </c>
      <c r="K143" s="8">
        <v>15</v>
      </c>
      <c r="L143" s="8">
        <v>1450</v>
      </c>
      <c r="M143" s="29">
        <v>15.65</v>
      </c>
      <c r="N143" s="29">
        <f>(M143*K143)/L143</f>
        <v>0.16189655172413794</v>
      </c>
      <c r="O143" s="30"/>
      <c r="P143" s="30"/>
      <c r="Q143" s="30"/>
      <c r="R143" s="30"/>
      <c r="S143" s="30"/>
    </row>
    <row r="144" spans="2:19" ht="15" customHeight="1" x14ac:dyDescent="0.2">
      <c r="B144" s="30"/>
      <c r="C144" s="31"/>
      <c r="D144" s="30"/>
      <c r="E144" s="32"/>
      <c r="F144" s="30"/>
      <c r="G144" s="30"/>
      <c r="H144" s="30"/>
      <c r="I144" s="30"/>
      <c r="J144" s="7" t="s">
        <v>1050</v>
      </c>
      <c r="K144" s="8">
        <v>15</v>
      </c>
      <c r="L144" s="8">
        <v>700</v>
      </c>
      <c r="M144" s="29">
        <v>1.94</v>
      </c>
      <c r="N144" s="29">
        <f>(M144*K144)/L144</f>
        <v>4.1571428571428572E-2</v>
      </c>
      <c r="O144" s="30"/>
      <c r="P144" s="30"/>
      <c r="Q144" s="30"/>
      <c r="R144" s="30"/>
      <c r="S144" s="30"/>
    </row>
    <row r="145" spans="2:19" ht="15" customHeight="1" x14ac:dyDescent="0.2">
      <c r="B145" s="30"/>
      <c r="C145" s="31"/>
      <c r="D145" s="30"/>
      <c r="E145" s="32"/>
      <c r="F145" s="30"/>
      <c r="G145" s="30"/>
      <c r="H145" s="30"/>
      <c r="I145" s="30"/>
      <c r="J145" s="7" t="s">
        <v>48</v>
      </c>
      <c r="K145" s="8">
        <f>SUM(K142:K144)</f>
        <v>70</v>
      </c>
      <c r="L145" s="8"/>
      <c r="M145" s="8"/>
      <c r="N145" s="29">
        <f>SUM(N142:N144)</f>
        <v>1.2066679802955664</v>
      </c>
      <c r="O145" s="30"/>
      <c r="P145" s="30"/>
      <c r="Q145" s="30"/>
      <c r="R145" s="30"/>
      <c r="S145" s="30"/>
    </row>
    <row r="146" spans="2:19" ht="15" customHeight="1" x14ac:dyDescent="0.2">
      <c r="B146" s="30"/>
      <c r="C146" s="31"/>
      <c r="D146" s="30"/>
      <c r="E146" s="32"/>
      <c r="F146" s="30"/>
      <c r="G146" s="30"/>
      <c r="H146" s="30"/>
      <c r="I146" s="30"/>
      <c r="J146" s="8" t="s">
        <v>52</v>
      </c>
      <c r="K146" s="51">
        <f>L146/K145</f>
        <v>10</v>
      </c>
      <c r="L146" s="8">
        <v>700</v>
      </c>
      <c r="M146" s="8"/>
      <c r="N146" s="29">
        <f>N145*K146</f>
        <v>12.066679802955665</v>
      </c>
      <c r="O146" s="30"/>
      <c r="P146" s="30"/>
      <c r="Q146" s="30"/>
      <c r="R146" s="30"/>
      <c r="S146" s="30"/>
    </row>
    <row r="147" spans="2:19" ht="15" customHeight="1" x14ac:dyDescent="0.2">
      <c r="B147" s="30"/>
      <c r="C147" s="31"/>
      <c r="D147" s="30"/>
      <c r="E147" s="32"/>
      <c r="F147" s="30"/>
      <c r="G147" s="30"/>
      <c r="H147" s="30"/>
      <c r="I147" s="30"/>
      <c r="J147" s="7" t="s">
        <v>53</v>
      </c>
      <c r="K147" s="8">
        <f>C23</f>
        <v>0</v>
      </c>
      <c r="L147" s="8">
        <v>700</v>
      </c>
      <c r="M147" s="8"/>
      <c r="N147" s="29">
        <f>N146*K147</f>
        <v>0</v>
      </c>
      <c r="O147" s="30"/>
      <c r="P147" s="30"/>
      <c r="Q147" s="30"/>
      <c r="R147" s="30"/>
      <c r="S147" s="30"/>
    </row>
    <row r="148" spans="2:19" ht="15" customHeight="1" x14ac:dyDescent="0.2">
      <c r="B148" s="30"/>
      <c r="C148" s="31"/>
      <c r="D148" s="30"/>
      <c r="E148" s="32"/>
      <c r="F148" s="30"/>
      <c r="G148" s="30"/>
      <c r="H148" s="30"/>
      <c r="I148" s="30"/>
      <c r="J148" s="7" t="s">
        <v>822</v>
      </c>
      <c r="K148" s="8">
        <f>L148/K145</f>
        <v>0</v>
      </c>
      <c r="L148" s="8">
        <f>F23</f>
        <v>0</v>
      </c>
      <c r="M148" s="8"/>
      <c r="N148" s="29">
        <f>N145*K148</f>
        <v>0</v>
      </c>
      <c r="P148" s="30"/>
      <c r="Q148" s="30"/>
      <c r="R148" s="30"/>
      <c r="S148" s="30"/>
    </row>
    <row r="149" spans="2:19" ht="15" customHeight="1" x14ac:dyDescent="0.2">
      <c r="B149" s="30"/>
      <c r="C149" s="31"/>
      <c r="D149" s="30"/>
      <c r="E149" s="32"/>
      <c r="F149" s="30"/>
      <c r="G149" s="30"/>
      <c r="H149" s="30"/>
      <c r="I149" s="30"/>
      <c r="J149" s="30"/>
      <c r="K149" s="30"/>
      <c r="L149" s="30"/>
      <c r="M149" s="30"/>
      <c r="O149" s="42">
        <f>SUM(N147:N148)</f>
        <v>0</v>
      </c>
      <c r="P149" s="30"/>
      <c r="Q149" s="30"/>
      <c r="R149" s="30"/>
      <c r="S149" s="30"/>
    </row>
    <row r="150" spans="2:19" ht="15" customHeight="1" x14ac:dyDescent="0.2">
      <c r="B150" s="30"/>
      <c r="C150" s="31"/>
      <c r="D150" s="30"/>
      <c r="E150" s="32"/>
      <c r="F150" s="30"/>
      <c r="G150" s="30"/>
      <c r="H150" s="30"/>
      <c r="I150" s="30"/>
      <c r="J150" s="94" t="s">
        <v>726</v>
      </c>
      <c r="K150" s="30"/>
      <c r="L150" s="30"/>
      <c r="M150" s="30"/>
      <c r="N150" s="30"/>
      <c r="O150" s="30"/>
      <c r="P150" s="30"/>
      <c r="Q150" s="30"/>
      <c r="R150" s="30"/>
      <c r="S150" s="30"/>
    </row>
    <row r="151" spans="2:19" ht="15" customHeight="1" x14ac:dyDescent="0.2">
      <c r="B151" s="30"/>
      <c r="C151" s="31"/>
      <c r="D151" s="30"/>
      <c r="E151" s="32"/>
      <c r="F151" s="30"/>
      <c r="G151" s="30"/>
      <c r="H151" s="30"/>
      <c r="I151" s="30"/>
      <c r="J151" s="7" t="s">
        <v>48</v>
      </c>
      <c r="K151" s="8">
        <v>50</v>
      </c>
      <c r="L151" s="8">
        <v>1000</v>
      </c>
      <c r="M151" s="29">
        <v>0.9</v>
      </c>
      <c r="N151" s="29">
        <f>(M151*K151)/L151</f>
        <v>4.4999999999999998E-2</v>
      </c>
      <c r="O151" s="30"/>
      <c r="P151" s="30"/>
      <c r="Q151" s="30"/>
      <c r="R151" s="30"/>
      <c r="S151" s="30"/>
    </row>
    <row r="152" spans="2:19" ht="15" customHeight="1" x14ac:dyDescent="0.2">
      <c r="B152" s="30"/>
      <c r="C152" s="31"/>
      <c r="D152" s="30"/>
      <c r="E152" s="32"/>
      <c r="F152" s="30"/>
      <c r="G152" s="30"/>
      <c r="H152" s="30"/>
      <c r="I152" s="30"/>
      <c r="J152" s="8" t="s">
        <v>52</v>
      </c>
      <c r="K152" s="8">
        <f>L152/K151</f>
        <v>20</v>
      </c>
      <c r="L152" s="8">
        <v>1000</v>
      </c>
      <c r="M152" s="8"/>
      <c r="N152" s="29">
        <f>N151*K152</f>
        <v>0.89999999999999991</v>
      </c>
      <c r="O152" s="30"/>
      <c r="P152" s="30"/>
      <c r="Q152" s="30"/>
      <c r="R152" s="30"/>
      <c r="S152" s="30"/>
    </row>
    <row r="153" spans="2:19" ht="15" customHeight="1" x14ac:dyDescent="0.2">
      <c r="B153" s="30"/>
      <c r="C153" s="31"/>
      <c r="D153" s="30"/>
      <c r="E153" s="32"/>
      <c r="F153" s="30"/>
      <c r="G153" s="30"/>
      <c r="H153" s="30"/>
      <c r="I153" s="30"/>
      <c r="J153" s="7" t="s">
        <v>53</v>
      </c>
      <c r="K153" s="8"/>
      <c r="L153" s="8">
        <v>700</v>
      </c>
      <c r="M153" s="8"/>
      <c r="N153" s="29">
        <f>N151*K153</f>
        <v>0</v>
      </c>
      <c r="O153" s="30"/>
      <c r="P153" s="30"/>
      <c r="Q153" s="30"/>
      <c r="R153" s="30"/>
      <c r="S153" s="30"/>
    </row>
    <row r="154" spans="2:19" ht="15" customHeight="1" x14ac:dyDescent="0.2">
      <c r="B154" s="30"/>
      <c r="C154" s="31"/>
      <c r="D154" s="30"/>
      <c r="E154" s="32"/>
      <c r="F154" s="30"/>
      <c r="G154" s="30"/>
      <c r="H154" s="30"/>
      <c r="I154" s="30"/>
      <c r="J154" s="7" t="s">
        <v>713</v>
      </c>
      <c r="K154" s="8">
        <f>L154/K151</f>
        <v>0</v>
      </c>
      <c r="L154" s="8">
        <f>F26</f>
        <v>0</v>
      </c>
      <c r="M154" s="8"/>
      <c r="N154" s="29">
        <f>N151*K154</f>
        <v>0</v>
      </c>
      <c r="O154" s="30"/>
      <c r="P154" s="30"/>
      <c r="Q154" s="30"/>
      <c r="R154" s="30"/>
      <c r="S154" s="30"/>
    </row>
    <row r="155" spans="2:19" ht="15" customHeight="1" x14ac:dyDescent="0.2">
      <c r="B155" s="30"/>
      <c r="C155" s="31"/>
      <c r="D155" s="30"/>
      <c r="E155" s="32"/>
      <c r="F155" s="30"/>
      <c r="G155" s="30"/>
      <c r="H155" s="30"/>
      <c r="I155" s="30"/>
      <c r="J155" s="30"/>
      <c r="K155" s="30"/>
      <c r="L155" s="30"/>
      <c r="M155" s="30"/>
      <c r="O155" s="42">
        <f>SUM(N153:N154)</f>
        <v>0</v>
      </c>
      <c r="P155" s="30"/>
      <c r="Q155" s="30"/>
      <c r="R155" s="30"/>
      <c r="S155" s="30"/>
    </row>
    <row r="156" spans="2:19" ht="15" customHeight="1" x14ac:dyDescent="0.2">
      <c r="B156" s="30"/>
      <c r="C156" s="31"/>
      <c r="D156" s="30"/>
      <c r="E156" s="32"/>
      <c r="F156" s="30"/>
      <c r="G156" s="30"/>
      <c r="H156" s="30"/>
      <c r="I156" s="30"/>
      <c r="J156" s="90" t="s">
        <v>727</v>
      </c>
      <c r="K156" s="30"/>
      <c r="L156" s="30"/>
      <c r="M156" s="30"/>
      <c r="N156" s="30"/>
      <c r="O156" s="30"/>
      <c r="P156" s="30"/>
      <c r="Q156" s="30"/>
      <c r="R156" s="30"/>
      <c r="S156" s="30"/>
    </row>
    <row r="157" spans="2:19" ht="15" customHeight="1" x14ac:dyDescent="0.2">
      <c r="B157" s="30"/>
      <c r="C157" s="31"/>
      <c r="D157" s="30"/>
      <c r="E157" s="32"/>
      <c r="F157" s="30"/>
      <c r="G157" s="30"/>
      <c r="H157" s="30"/>
      <c r="I157" s="30"/>
      <c r="J157" s="7" t="s">
        <v>721</v>
      </c>
      <c r="K157" s="8">
        <v>0.5</v>
      </c>
      <c r="L157" s="8">
        <v>700</v>
      </c>
      <c r="M157" s="29">
        <v>15</v>
      </c>
      <c r="N157" s="29">
        <f>(M157*K157)/L157</f>
        <v>1.0714285714285714E-2</v>
      </c>
      <c r="O157" s="30"/>
      <c r="P157" s="30"/>
      <c r="Q157" s="30"/>
      <c r="R157" s="30"/>
      <c r="S157" s="30"/>
    </row>
    <row r="158" spans="2:19" ht="15" customHeight="1" x14ac:dyDescent="0.2">
      <c r="B158" s="30"/>
      <c r="C158" s="31"/>
      <c r="D158" s="30"/>
      <c r="E158" s="32"/>
      <c r="F158" s="30"/>
      <c r="G158" s="30"/>
      <c r="H158" s="30"/>
      <c r="I158" s="30"/>
      <c r="J158" s="7" t="s">
        <v>728</v>
      </c>
      <c r="K158" s="8">
        <v>15</v>
      </c>
      <c r="L158" s="8">
        <v>1000</v>
      </c>
      <c r="M158" s="29">
        <v>15.49</v>
      </c>
      <c r="N158" s="29">
        <f t="shared" ref="N158:N162" si="8">(M158*K158)/L158</f>
        <v>0.23235</v>
      </c>
      <c r="O158" s="30"/>
      <c r="P158" s="30"/>
      <c r="Q158" s="30"/>
      <c r="R158" s="30"/>
      <c r="S158" s="30"/>
    </row>
    <row r="159" spans="2:19" ht="15" customHeight="1" x14ac:dyDescent="0.2">
      <c r="B159" s="30"/>
      <c r="C159" s="31"/>
      <c r="D159" s="30"/>
      <c r="E159" s="32"/>
      <c r="F159" s="30"/>
      <c r="G159" s="30"/>
      <c r="H159" s="30"/>
      <c r="I159" s="30"/>
      <c r="J159" s="7" t="s">
        <v>722</v>
      </c>
      <c r="K159" s="8">
        <v>15</v>
      </c>
      <c r="L159" s="8">
        <v>700</v>
      </c>
      <c r="M159" s="29">
        <v>10.55</v>
      </c>
      <c r="N159" s="29">
        <f t="shared" si="8"/>
        <v>0.22607142857142856</v>
      </c>
      <c r="O159" s="30"/>
      <c r="P159" s="30"/>
      <c r="Q159" s="30"/>
      <c r="R159" s="30"/>
      <c r="S159" s="30"/>
    </row>
    <row r="160" spans="2:19" ht="15" customHeight="1" x14ac:dyDescent="0.2">
      <c r="B160" s="30"/>
      <c r="C160" s="31"/>
      <c r="D160" s="30"/>
      <c r="E160" s="32"/>
      <c r="F160" s="30"/>
      <c r="G160" s="30"/>
      <c r="H160" s="30"/>
      <c r="I160" s="30"/>
      <c r="J160" s="7" t="s">
        <v>729</v>
      </c>
      <c r="K160" s="8">
        <v>60</v>
      </c>
      <c r="L160" s="8">
        <v>1000</v>
      </c>
      <c r="M160" s="29">
        <v>1.5</v>
      </c>
      <c r="N160" s="29">
        <f t="shared" si="8"/>
        <v>0.09</v>
      </c>
      <c r="P160" s="30"/>
      <c r="Q160" s="30"/>
      <c r="R160" s="30"/>
      <c r="S160" s="30"/>
    </row>
    <row r="161" spans="2:19" ht="15" customHeight="1" x14ac:dyDescent="0.2">
      <c r="B161" s="30"/>
      <c r="C161" s="31"/>
      <c r="D161" s="30"/>
      <c r="E161" s="32"/>
      <c r="F161" s="30"/>
      <c r="G161" s="30"/>
      <c r="H161" s="30"/>
      <c r="I161" s="30"/>
      <c r="J161" s="7" t="s">
        <v>730</v>
      </c>
      <c r="K161" s="8">
        <v>15</v>
      </c>
      <c r="L161" s="8">
        <v>1000</v>
      </c>
      <c r="M161" s="29">
        <v>10</v>
      </c>
      <c r="N161" s="29">
        <f t="shared" si="8"/>
        <v>0.15</v>
      </c>
      <c r="O161" s="30"/>
      <c r="P161" s="30"/>
      <c r="Q161" s="30"/>
      <c r="R161" s="30"/>
      <c r="S161" s="30"/>
    </row>
    <row r="162" spans="2:19" ht="15" customHeight="1" x14ac:dyDescent="0.2">
      <c r="B162" s="30"/>
      <c r="C162" s="31"/>
      <c r="D162" s="30"/>
      <c r="E162" s="32"/>
      <c r="F162" s="30"/>
      <c r="G162" s="30"/>
      <c r="H162" s="30"/>
      <c r="I162" s="30"/>
      <c r="J162" s="7" t="s">
        <v>731</v>
      </c>
      <c r="K162" s="8">
        <v>20</v>
      </c>
      <c r="L162" s="8">
        <v>1000</v>
      </c>
      <c r="M162" s="29">
        <v>4.5</v>
      </c>
      <c r="N162" s="29">
        <f t="shared" si="8"/>
        <v>0.09</v>
      </c>
      <c r="O162" s="30"/>
      <c r="P162" s="30"/>
      <c r="Q162" s="30"/>
      <c r="R162" s="30"/>
      <c r="S162" s="30"/>
    </row>
    <row r="163" spans="2:19" ht="15" customHeight="1" x14ac:dyDescent="0.2">
      <c r="B163" s="30"/>
      <c r="C163" s="31"/>
      <c r="D163" s="30"/>
      <c r="E163" s="32"/>
      <c r="F163" s="30"/>
      <c r="G163" s="30"/>
      <c r="H163" s="30"/>
      <c r="I163" s="30"/>
      <c r="J163" s="7" t="s">
        <v>48</v>
      </c>
      <c r="K163" s="8">
        <f>SUM(K157:K162)</f>
        <v>125.5</v>
      </c>
      <c r="L163" s="8"/>
      <c r="M163" s="8"/>
      <c r="N163" s="29">
        <f>SUM(N157:N162)</f>
        <v>0.79913571428571428</v>
      </c>
      <c r="O163" s="30"/>
      <c r="P163" s="30"/>
      <c r="Q163" s="30"/>
      <c r="R163" s="30"/>
      <c r="S163" s="30"/>
    </row>
    <row r="164" spans="2:19" ht="15" customHeight="1" x14ac:dyDescent="0.2">
      <c r="B164" s="30"/>
      <c r="C164" s="31"/>
      <c r="D164" s="30"/>
      <c r="E164" s="32"/>
      <c r="F164" s="30"/>
      <c r="G164" s="30"/>
      <c r="H164" s="30"/>
      <c r="I164" s="30"/>
      <c r="J164" s="8" t="s">
        <v>52</v>
      </c>
      <c r="K164" s="8">
        <f>L164/K163</f>
        <v>5.5776892430278888</v>
      </c>
      <c r="L164" s="8">
        <v>700</v>
      </c>
      <c r="M164" s="8"/>
      <c r="N164" s="29">
        <f>N163*K164</f>
        <v>4.4573306772908365</v>
      </c>
      <c r="O164" s="30"/>
      <c r="P164" s="30"/>
      <c r="Q164" s="30"/>
      <c r="R164" s="30"/>
      <c r="S164" s="30"/>
    </row>
    <row r="165" spans="2:19" ht="15" customHeight="1" x14ac:dyDescent="0.2">
      <c r="B165" s="30"/>
      <c r="C165" s="31"/>
      <c r="D165" s="30"/>
      <c r="E165" s="32"/>
      <c r="F165" s="30"/>
      <c r="G165" s="30"/>
      <c r="H165" s="30"/>
      <c r="I165" s="30"/>
      <c r="J165" s="7" t="s">
        <v>53</v>
      </c>
      <c r="K165" s="8">
        <f>C27</f>
        <v>0</v>
      </c>
      <c r="L165" s="8">
        <v>700</v>
      </c>
      <c r="M165" s="8"/>
      <c r="N165" s="29">
        <f>N163*K165</f>
        <v>0</v>
      </c>
      <c r="O165" s="30"/>
      <c r="P165" s="30"/>
      <c r="Q165" s="30"/>
      <c r="R165" s="30"/>
      <c r="S165" s="30"/>
    </row>
    <row r="166" spans="2:19" ht="15" customHeight="1" x14ac:dyDescent="0.2">
      <c r="B166" s="30"/>
      <c r="C166" s="31"/>
      <c r="D166" s="30"/>
      <c r="E166" s="32"/>
      <c r="F166" s="30"/>
      <c r="G166" s="30"/>
      <c r="H166" s="30"/>
      <c r="I166" s="30"/>
      <c r="J166" s="7" t="s">
        <v>713</v>
      </c>
      <c r="K166" s="8">
        <f>L166/K163</f>
        <v>0</v>
      </c>
      <c r="L166" s="8">
        <f>F27</f>
        <v>0</v>
      </c>
      <c r="M166" s="8"/>
      <c r="N166" s="29">
        <f>N163*K166</f>
        <v>0</v>
      </c>
      <c r="O166" s="30"/>
      <c r="P166" s="30"/>
      <c r="Q166" s="30"/>
      <c r="R166" s="30"/>
      <c r="S166" s="30"/>
    </row>
    <row r="167" spans="2:19" ht="15" customHeight="1" x14ac:dyDescent="0.2">
      <c r="B167" s="30"/>
      <c r="C167" s="31"/>
      <c r="D167" s="30"/>
      <c r="E167" s="32"/>
      <c r="F167" s="30"/>
      <c r="G167" s="30"/>
      <c r="H167" s="30"/>
      <c r="I167" s="30"/>
      <c r="J167" s="30"/>
      <c r="K167" s="30"/>
      <c r="L167" s="30"/>
      <c r="M167" s="30"/>
      <c r="O167" s="42">
        <f>SUM(N165:N166)</f>
        <v>0</v>
      </c>
      <c r="P167" s="30"/>
      <c r="Q167" s="30"/>
      <c r="R167" s="30"/>
      <c r="S167" s="30"/>
    </row>
    <row r="168" spans="2:19" ht="15" customHeight="1" x14ac:dyDescent="0.2">
      <c r="B168" s="30"/>
      <c r="C168" s="31"/>
      <c r="D168" s="30"/>
      <c r="E168" s="32"/>
      <c r="F168" s="30"/>
      <c r="G168" s="30"/>
      <c r="H168" s="30"/>
      <c r="I168" s="30"/>
      <c r="J168" s="90" t="s">
        <v>732</v>
      </c>
      <c r="K168" s="30"/>
      <c r="L168" s="30"/>
      <c r="M168" s="30"/>
      <c r="N168" s="30"/>
      <c r="O168" s="30"/>
      <c r="P168" s="30"/>
      <c r="Q168" s="30"/>
      <c r="R168" s="30"/>
      <c r="S168" s="30"/>
    </row>
    <row r="169" spans="2:19" ht="15" customHeight="1" x14ac:dyDescent="0.2">
      <c r="B169" s="30"/>
      <c r="C169" s="31"/>
      <c r="D169" s="30"/>
      <c r="E169" s="32"/>
      <c r="F169" s="30"/>
      <c r="G169" s="30"/>
      <c r="H169" s="30"/>
      <c r="I169" s="30"/>
      <c r="J169" s="8" t="s">
        <v>733</v>
      </c>
      <c r="K169" s="8">
        <v>25</v>
      </c>
      <c r="L169" s="8">
        <v>1000</v>
      </c>
      <c r="M169" s="29">
        <v>2.57</v>
      </c>
      <c r="N169" s="29">
        <f>(M169*K169)/L169</f>
        <v>6.4250000000000002E-2</v>
      </c>
      <c r="O169" s="30"/>
      <c r="P169" s="30"/>
      <c r="Q169" s="30"/>
      <c r="R169" s="30"/>
      <c r="S169" s="30"/>
    </row>
    <row r="170" spans="2:19" ht="15" customHeight="1" x14ac:dyDescent="0.2">
      <c r="B170" s="30"/>
      <c r="C170" s="31"/>
      <c r="D170" s="30"/>
      <c r="E170" s="32"/>
      <c r="F170" s="30"/>
      <c r="G170" s="30"/>
      <c r="H170" s="30"/>
      <c r="I170" s="30"/>
      <c r="J170" s="8" t="s">
        <v>734</v>
      </c>
      <c r="K170" s="8">
        <v>35</v>
      </c>
      <c r="L170" s="8">
        <v>700</v>
      </c>
      <c r="M170" s="29">
        <v>11.46</v>
      </c>
      <c r="N170" s="29">
        <f t="shared" ref="N170:N172" si="9">(M170*K170)/L170</f>
        <v>0.57300000000000006</v>
      </c>
      <c r="P170" s="30"/>
      <c r="Q170" s="30"/>
      <c r="R170" s="30"/>
      <c r="S170" s="30"/>
    </row>
    <row r="171" spans="2:19" ht="15" customHeight="1" x14ac:dyDescent="0.2">
      <c r="B171" s="30"/>
      <c r="C171" s="31"/>
      <c r="D171" s="30"/>
      <c r="E171" s="32"/>
      <c r="F171" s="30"/>
      <c r="G171" s="30"/>
      <c r="H171" s="30"/>
      <c r="I171" s="30"/>
      <c r="J171" s="8" t="s">
        <v>735</v>
      </c>
      <c r="K171" s="8">
        <v>15</v>
      </c>
      <c r="L171" s="8">
        <v>700</v>
      </c>
      <c r="M171" s="29">
        <v>10.98</v>
      </c>
      <c r="N171" s="29">
        <f t="shared" si="9"/>
        <v>0.23528571428571432</v>
      </c>
      <c r="O171" s="30"/>
      <c r="P171" s="30"/>
      <c r="Q171" s="30"/>
      <c r="R171" s="30"/>
      <c r="S171" s="30"/>
    </row>
    <row r="172" spans="2:19" ht="15" customHeight="1" x14ac:dyDescent="0.2">
      <c r="B172" s="30"/>
      <c r="C172" s="31"/>
      <c r="D172" s="30"/>
      <c r="E172" s="32"/>
      <c r="F172" s="30"/>
      <c r="G172" s="30"/>
      <c r="H172" s="30"/>
      <c r="I172" s="30"/>
      <c r="J172" s="8" t="s">
        <v>111</v>
      </c>
      <c r="K172" s="8">
        <v>25</v>
      </c>
      <c r="L172" s="8">
        <v>1000</v>
      </c>
      <c r="M172" s="29">
        <v>1.99</v>
      </c>
      <c r="N172" s="29">
        <f t="shared" si="9"/>
        <v>4.9750000000000003E-2</v>
      </c>
      <c r="O172" s="30"/>
      <c r="P172" s="30"/>
      <c r="Q172" s="30"/>
      <c r="R172" s="30"/>
      <c r="S172" s="30"/>
    </row>
    <row r="173" spans="2:19" ht="15" customHeight="1" x14ac:dyDescent="0.2">
      <c r="B173" s="30"/>
      <c r="C173" s="31"/>
      <c r="D173" s="30"/>
      <c r="E173" s="32"/>
      <c r="F173" s="30"/>
      <c r="G173" s="30"/>
      <c r="H173" s="30"/>
      <c r="I173" s="30"/>
      <c r="J173" s="7" t="s">
        <v>48</v>
      </c>
      <c r="K173" s="8">
        <v>60</v>
      </c>
      <c r="L173" s="8"/>
      <c r="M173" s="8"/>
      <c r="N173" s="29">
        <f>SUM(N169:N172)</f>
        <v>0.92228571428571438</v>
      </c>
      <c r="O173" s="30"/>
      <c r="P173" s="30"/>
      <c r="Q173" s="30"/>
      <c r="R173" s="30"/>
      <c r="S173" s="30"/>
    </row>
    <row r="174" spans="2:19" ht="15" customHeight="1" x14ac:dyDescent="0.2">
      <c r="B174" s="30"/>
      <c r="C174" s="31"/>
      <c r="D174" s="30"/>
      <c r="E174" s="32"/>
      <c r="F174" s="30"/>
      <c r="G174" s="30"/>
      <c r="H174" s="30"/>
      <c r="I174" s="30"/>
      <c r="J174" s="8" t="s">
        <v>52</v>
      </c>
      <c r="K174" s="51">
        <f>L174/K173</f>
        <v>11.666666666666666</v>
      </c>
      <c r="L174" s="8">
        <v>700</v>
      </c>
      <c r="M174" s="8"/>
      <c r="N174" s="29">
        <f>N173*K174</f>
        <v>10.76</v>
      </c>
      <c r="O174" s="30"/>
      <c r="P174" s="30"/>
      <c r="Q174" s="30"/>
      <c r="R174" s="30"/>
      <c r="S174" s="30"/>
    </row>
    <row r="175" spans="2:19" ht="15" customHeight="1" x14ac:dyDescent="0.2">
      <c r="B175" s="30"/>
      <c r="C175" s="31"/>
      <c r="D175" s="30"/>
      <c r="E175" s="32"/>
      <c r="F175" s="30"/>
      <c r="G175" s="30"/>
      <c r="H175" s="30"/>
      <c r="I175" s="30"/>
      <c r="J175" s="7" t="s">
        <v>53</v>
      </c>
      <c r="K175" s="8">
        <f>C31</f>
        <v>0</v>
      </c>
      <c r="L175" s="8">
        <v>700</v>
      </c>
      <c r="M175" s="8"/>
      <c r="N175" s="29">
        <f>N174*K175</f>
        <v>0</v>
      </c>
      <c r="O175" s="30"/>
      <c r="P175" s="30"/>
      <c r="Q175" s="30"/>
      <c r="R175" s="30"/>
      <c r="S175" s="30"/>
    </row>
    <row r="176" spans="2:19" ht="15" customHeight="1" x14ac:dyDescent="0.2">
      <c r="B176" s="30"/>
      <c r="C176" s="31"/>
      <c r="D176" s="30"/>
      <c r="E176" s="32"/>
      <c r="F176" s="30"/>
      <c r="G176" s="30"/>
      <c r="H176" s="30"/>
      <c r="I176" s="30"/>
      <c r="J176" s="7" t="s">
        <v>713</v>
      </c>
      <c r="K176" s="8">
        <f>L176/K173</f>
        <v>0</v>
      </c>
      <c r="L176" s="8">
        <f>F31</f>
        <v>0</v>
      </c>
      <c r="M176" s="8"/>
      <c r="N176" s="29">
        <f>N173*K176</f>
        <v>0</v>
      </c>
      <c r="O176" s="30"/>
      <c r="P176" s="30"/>
      <c r="Q176" s="30"/>
      <c r="R176" s="30"/>
      <c r="S176" s="30"/>
    </row>
    <row r="177" spans="2:19" ht="15" customHeight="1" x14ac:dyDescent="0.2">
      <c r="B177" s="30"/>
      <c r="C177" s="31"/>
      <c r="D177" s="30"/>
      <c r="E177" s="32"/>
      <c r="F177" s="30"/>
      <c r="G177" s="30"/>
      <c r="H177" s="30"/>
      <c r="I177" s="30"/>
      <c r="J177" s="30"/>
      <c r="K177" s="30"/>
      <c r="L177" s="30"/>
      <c r="M177" s="30"/>
      <c r="O177" s="42">
        <f>N175+N176</f>
        <v>0</v>
      </c>
      <c r="P177" s="30"/>
      <c r="Q177" s="30"/>
      <c r="R177" s="30"/>
      <c r="S177" s="30"/>
    </row>
    <row r="178" spans="2:19" ht="15" customHeight="1" x14ac:dyDescent="0.2">
      <c r="B178" s="30"/>
      <c r="C178" s="31"/>
      <c r="D178" s="30"/>
      <c r="E178" s="32"/>
      <c r="F178" s="30"/>
      <c r="G178" s="30"/>
      <c r="H178" s="30"/>
      <c r="I178" s="30"/>
      <c r="J178" s="90" t="s">
        <v>736</v>
      </c>
      <c r="K178" s="30"/>
      <c r="L178" s="30"/>
      <c r="M178" s="30"/>
      <c r="N178" s="30"/>
      <c r="O178" s="30"/>
      <c r="P178" s="30"/>
      <c r="Q178" s="30"/>
      <c r="R178" s="30"/>
      <c r="S178" s="30"/>
    </row>
    <row r="179" spans="2:19" ht="15" customHeight="1" x14ac:dyDescent="0.2">
      <c r="B179" s="30"/>
      <c r="C179" s="31"/>
      <c r="D179" s="30"/>
      <c r="E179" s="32"/>
      <c r="F179" s="30"/>
      <c r="G179" s="30"/>
      <c r="H179" s="30"/>
      <c r="I179" s="30"/>
      <c r="J179" s="7" t="s">
        <v>736</v>
      </c>
      <c r="K179" s="7">
        <v>0.02</v>
      </c>
      <c r="L179" s="7">
        <v>1100</v>
      </c>
      <c r="M179" s="29">
        <f>Producciones!F385</f>
        <v>1.4774100000000001</v>
      </c>
      <c r="N179" s="29">
        <f>(M179*K179)/L179</f>
        <v>2.6862000000000005E-5</v>
      </c>
      <c r="O179" s="30"/>
      <c r="P179" s="30"/>
      <c r="Q179" s="30"/>
      <c r="R179" s="30"/>
      <c r="S179" s="30"/>
    </row>
    <row r="180" spans="2:19" ht="15" customHeight="1" x14ac:dyDescent="0.2">
      <c r="B180" s="30"/>
      <c r="C180" s="31"/>
      <c r="D180" s="30"/>
      <c r="E180" s="32"/>
      <c r="F180" s="30"/>
      <c r="G180" s="30"/>
      <c r="H180" s="30"/>
      <c r="I180" s="30"/>
      <c r="J180" s="8" t="s">
        <v>54</v>
      </c>
      <c r="K180" s="7">
        <v>0.02</v>
      </c>
      <c r="L180" s="7"/>
      <c r="M180" s="44"/>
      <c r="N180" s="29">
        <f>SUM(N179:N179)</f>
        <v>2.6862000000000005E-5</v>
      </c>
      <c r="O180" s="30"/>
      <c r="P180" s="30"/>
      <c r="Q180" s="30"/>
      <c r="R180" s="30"/>
      <c r="S180" s="30"/>
    </row>
    <row r="181" spans="2:19" ht="15" customHeight="1" x14ac:dyDescent="0.2">
      <c r="B181" s="30"/>
      <c r="C181" s="31"/>
      <c r="D181" s="30"/>
      <c r="E181" s="32"/>
      <c r="F181" s="30"/>
      <c r="G181" s="30"/>
      <c r="H181" s="30"/>
      <c r="I181" s="30"/>
      <c r="J181" s="8" t="s">
        <v>52</v>
      </c>
      <c r="K181" s="51">
        <f>L181/K180</f>
        <v>35000</v>
      </c>
      <c r="L181" s="8">
        <v>700</v>
      </c>
      <c r="M181" s="29"/>
      <c r="N181" s="29">
        <f>N180*K181</f>
        <v>0.94017000000000017</v>
      </c>
      <c r="O181" s="30"/>
      <c r="P181" s="30"/>
      <c r="Q181" s="30"/>
      <c r="R181" s="30"/>
      <c r="S181" s="30"/>
    </row>
    <row r="182" spans="2:19" ht="15" customHeight="1" x14ac:dyDescent="0.2">
      <c r="B182" s="30"/>
      <c r="C182" s="31"/>
      <c r="D182" s="30"/>
      <c r="E182" s="32"/>
      <c r="F182" s="30"/>
      <c r="G182" s="30"/>
      <c r="H182" s="30"/>
      <c r="I182" s="30"/>
      <c r="J182" s="8" t="s">
        <v>53</v>
      </c>
      <c r="K182" s="8">
        <f>C17</f>
        <v>0</v>
      </c>
      <c r="L182" s="8">
        <v>700</v>
      </c>
      <c r="M182" s="8"/>
      <c r="N182" s="29">
        <f>N181*K182</f>
        <v>0</v>
      </c>
      <c r="O182" s="30"/>
      <c r="P182" s="30"/>
      <c r="Q182" s="30"/>
      <c r="R182" s="30"/>
      <c r="S182" s="30"/>
    </row>
    <row r="183" spans="2:19" ht="15" customHeight="1" x14ac:dyDescent="0.2">
      <c r="B183" s="30"/>
      <c r="C183" s="31"/>
      <c r="D183" s="30"/>
      <c r="E183" s="32"/>
      <c r="F183" s="30"/>
      <c r="G183" s="30"/>
      <c r="H183" s="30"/>
      <c r="I183" s="30"/>
      <c r="J183" s="8"/>
      <c r="K183" s="8"/>
      <c r="L183" s="8"/>
      <c r="M183" s="8"/>
      <c r="N183" s="29"/>
      <c r="P183" s="30"/>
      <c r="Q183" s="30"/>
      <c r="R183" s="30"/>
      <c r="S183" s="30"/>
    </row>
    <row r="184" spans="2:19" ht="15" customHeight="1" x14ac:dyDescent="0.2">
      <c r="B184" s="30"/>
      <c r="C184" s="31"/>
      <c r="D184" s="30"/>
      <c r="E184" s="32"/>
      <c r="F184" s="30"/>
      <c r="G184" s="30"/>
      <c r="H184" s="30"/>
      <c r="I184" s="30"/>
      <c r="J184" s="30"/>
      <c r="K184" s="30"/>
      <c r="L184" s="30"/>
      <c r="M184" s="30"/>
      <c r="O184" s="42">
        <f>SUM(N182:N183)</f>
        <v>0</v>
      </c>
      <c r="P184" s="30"/>
      <c r="Q184" s="30"/>
      <c r="R184" s="30"/>
      <c r="S184" s="30"/>
    </row>
    <row r="185" spans="2:19" ht="15" customHeight="1" x14ac:dyDescent="0.2">
      <c r="B185" s="30"/>
      <c r="C185" s="31"/>
      <c r="D185" s="30"/>
      <c r="E185" s="32"/>
      <c r="F185" s="30"/>
      <c r="G185" s="30"/>
      <c r="H185" s="30"/>
      <c r="I185" s="30"/>
      <c r="J185" s="90" t="s">
        <v>1049</v>
      </c>
      <c r="K185" s="30"/>
      <c r="L185" s="30"/>
      <c r="M185" s="30"/>
      <c r="N185" s="30"/>
      <c r="P185" s="30"/>
      <c r="Q185" s="30"/>
      <c r="R185" s="30"/>
      <c r="S185" s="30"/>
    </row>
    <row r="186" spans="2:19" ht="15" customHeight="1" x14ac:dyDescent="0.2">
      <c r="B186" s="30"/>
      <c r="C186" s="31"/>
      <c r="D186" s="30"/>
      <c r="E186" s="32"/>
      <c r="F186" s="30"/>
      <c r="G186" s="30"/>
      <c r="H186" s="30"/>
      <c r="I186" s="30"/>
      <c r="J186" s="7" t="s">
        <v>1049</v>
      </c>
      <c r="K186" s="7">
        <v>15</v>
      </c>
      <c r="L186" s="7">
        <v>1450</v>
      </c>
      <c r="M186" s="29">
        <v>15.65</v>
      </c>
      <c r="N186" s="29">
        <f>(M186*K186)/L186</f>
        <v>0.16189655172413794</v>
      </c>
      <c r="O186" s="30"/>
      <c r="P186" s="30"/>
      <c r="Q186" s="30"/>
      <c r="R186" s="30"/>
      <c r="S186" s="30"/>
    </row>
    <row r="187" spans="2:19" ht="15" customHeight="1" x14ac:dyDescent="0.2">
      <c r="B187" s="30"/>
      <c r="C187" s="31"/>
      <c r="D187" s="30"/>
      <c r="E187" s="32"/>
      <c r="F187" s="30"/>
      <c r="G187" s="30"/>
      <c r="H187" s="30"/>
      <c r="I187" s="30"/>
      <c r="J187" s="8" t="s">
        <v>54</v>
      </c>
      <c r="K187" s="7">
        <v>15</v>
      </c>
      <c r="L187" s="7"/>
      <c r="M187" s="44"/>
      <c r="N187" s="29">
        <f>SUM(N186:N186)</f>
        <v>0.16189655172413794</v>
      </c>
      <c r="O187" s="30"/>
      <c r="P187" s="30"/>
      <c r="Q187" s="30"/>
      <c r="R187" s="30"/>
      <c r="S187" s="30"/>
    </row>
    <row r="188" spans="2:19" ht="15" customHeight="1" x14ac:dyDescent="0.2">
      <c r="B188" s="30"/>
      <c r="C188" s="31"/>
      <c r="D188" s="30"/>
      <c r="E188" s="32"/>
      <c r="F188" s="30"/>
      <c r="G188" s="30"/>
      <c r="H188" s="30"/>
      <c r="I188" s="30"/>
      <c r="J188" s="8" t="s">
        <v>52</v>
      </c>
      <c r="K188" s="51">
        <f>L188/K187</f>
        <v>46.666666666666664</v>
      </c>
      <c r="L188" s="8">
        <v>700</v>
      </c>
      <c r="M188" s="29"/>
      <c r="N188" s="29">
        <f>N187*K188</f>
        <v>7.5551724137931036</v>
      </c>
      <c r="O188" s="30"/>
      <c r="P188" s="30"/>
      <c r="Q188" s="30"/>
      <c r="R188" s="30"/>
      <c r="S188" s="30"/>
    </row>
    <row r="189" spans="2:19" ht="15" customHeight="1" x14ac:dyDescent="0.2">
      <c r="B189" s="30"/>
      <c r="C189" s="31"/>
      <c r="D189" s="30"/>
      <c r="E189" s="32"/>
      <c r="F189" s="30"/>
      <c r="G189" s="30"/>
      <c r="H189" s="30"/>
      <c r="I189" s="30"/>
      <c r="J189" s="8" t="s">
        <v>53</v>
      </c>
      <c r="K189" s="8">
        <f>C18</f>
        <v>0</v>
      </c>
      <c r="L189" s="8">
        <v>700</v>
      </c>
      <c r="M189" s="8"/>
      <c r="N189" s="29">
        <f>N188*K189</f>
        <v>0</v>
      </c>
      <c r="O189" s="30"/>
      <c r="P189" s="30"/>
      <c r="Q189" s="30"/>
      <c r="R189" s="30"/>
      <c r="S189" s="30"/>
    </row>
    <row r="190" spans="2:19" ht="15" customHeight="1" x14ac:dyDescent="0.2">
      <c r="B190" s="30"/>
      <c r="C190" s="31"/>
      <c r="D190" s="30"/>
      <c r="E190" s="32"/>
      <c r="F190" s="30"/>
      <c r="G190" s="30"/>
      <c r="H190" s="30"/>
      <c r="I190" s="30"/>
      <c r="J190" s="8" t="s">
        <v>116</v>
      </c>
      <c r="K190" s="8">
        <f>L190/K188</f>
        <v>0</v>
      </c>
      <c r="L190" s="8">
        <f>F24</f>
        <v>0</v>
      </c>
      <c r="M190" s="8"/>
      <c r="N190" s="29"/>
      <c r="O190" s="30"/>
      <c r="P190" s="30"/>
      <c r="Q190" s="30"/>
      <c r="R190" s="30"/>
      <c r="S190" s="30"/>
    </row>
    <row r="191" spans="2:19" ht="15" customHeight="1" x14ac:dyDescent="0.2">
      <c r="B191" s="30"/>
      <c r="C191" s="31"/>
      <c r="D191" s="30"/>
      <c r="E191" s="32"/>
      <c r="F191" s="30"/>
      <c r="G191" s="30"/>
      <c r="H191" s="30"/>
      <c r="I191" s="30"/>
      <c r="J191" s="30"/>
      <c r="K191" s="30"/>
      <c r="L191" s="30"/>
      <c r="M191" s="30"/>
      <c r="O191" s="42">
        <f>SUM(N189:N190)</f>
        <v>0</v>
      </c>
      <c r="P191" s="30"/>
      <c r="Q191" s="30"/>
      <c r="R191" s="30"/>
      <c r="S191" s="30"/>
    </row>
    <row r="192" spans="2:19" ht="15" customHeight="1" x14ac:dyDescent="0.2">
      <c r="B192" s="30"/>
      <c r="C192" s="31"/>
      <c r="D192" s="30"/>
      <c r="E192" s="32"/>
      <c r="F192" s="30"/>
      <c r="G192" s="30"/>
      <c r="H192" s="30"/>
      <c r="I192" s="30"/>
      <c r="J192" s="90" t="s">
        <v>737</v>
      </c>
      <c r="K192" s="30"/>
      <c r="L192" s="30"/>
      <c r="M192" s="30"/>
      <c r="N192" s="30"/>
      <c r="O192" s="30"/>
      <c r="P192" s="30"/>
      <c r="Q192" s="30"/>
      <c r="R192" s="30"/>
      <c r="S192" s="30"/>
    </row>
    <row r="193" spans="2:19" ht="15" customHeight="1" x14ac:dyDescent="0.2">
      <c r="B193" s="30"/>
      <c r="C193" s="31"/>
      <c r="D193" s="30"/>
      <c r="E193" s="32"/>
      <c r="F193" s="30"/>
      <c r="G193" s="30"/>
      <c r="H193" s="30"/>
      <c r="I193" s="30"/>
      <c r="J193" s="7" t="s">
        <v>737</v>
      </c>
      <c r="K193" s="7"/>
      <c r="L193" s="7">
        <v>500</v>
      </c>
      <c r="M193" s="29">
        <v>6</v>
      </c>
      <c r="N193" s="29">
        <f>(M193*K193)/L193</f>
        <v>0</v>
      </c>
      <c r="O193" s="30"/>
      <c r="P193" s="30"/>
      <c r="Q193" s="30"/>
      <c r="R193" s="30"/>
      <c r="S193" s="30"/>
    </row>
    <row r="194" spans="2:19" ht="15" customHeight="1" x14ac:dyDescent="0.2">
      <c r="B194" s="30"/>
      <c r="C194" s="31"/>
      <c r="D194" s="30"/>
      <c r="E194" s="32"/>
      <c r="F194" s="30"/>
      <c r="G194" s="30"/>
      <c r="H194" s="30"/>
      <c r="I194" s="30"/>
      <c r="J194" s="8" t="s">
        <v>54</v>
      </c>
      <c r="K194" s="7">
        <v>0.02</v>
      </c>
      <c r="L194" s="7"/>
      <c r="M194" s="44"/>
      <c r="N194" s="29">
        <f>SUM(N193:N193)</f>
        <v>0</v>
      </c>
      <c r="O194" s="30"/>
      <c r="P194" s="30"/>
      <c r="Q194" s="30"/>
      <c r="R194" s="30"/>
      <c r="S194" s="30"/>
    </row>
    <row r="195" spans="2:19" ht="15" customHeight="1" x14ac:dyDescent="0.2">
      <c r="B195" s="30"/>
      <c r="C195" s="31"/>
      <c r="D195" s="30"/>
      <c r="E195" s="32"/>
      <c r="F195" s="30"/>
      <c r="G195" s="30"/>
      <c r="H195" s="30"/>
      <c r="I195" s="30"/>
      <c r="J195" s="8" t="s">
        <v>52</v>
      </c>
      <c r="K195" s="51">
        <f>L195/K194</f>
        <v>25000</v>
      </c>
      <c r="L195" s="8">
        <v>500</v>
      </c>
      <c r="M195" s="29"/>
      <c r="N195" s="29">
        <f>N194*K195</f>
        <v>0</v>
      </c>
      <c r="O195" s="30"/>
      <c r="P195" s="30"/>
      <c r="Q195" s="30"/>
      <c r="R195" s="30"/>
      <c r="S195" s="30"/>
    </row>
    <row r="196" spans="2:19" ht="15" customHeight="1" x14ac:dyDescent="0.2">
      <c r="B196" s="30"/>
      <c r="C196" s="31"/>
      <c r="D196" s="30"/>
      <c r="E196" s="32"/>
      <c r="F196" s="30"/>
      <c r="G196" s="30"/>
      <c r="H196" s="30"/>
      <c r="I196" s="30"/>
      <c r="J196" s="8" t="s">
        <v>738</v>
      </c>
      <c r="K196" s="8">
        <f>C21</f>
        <v>0</v>
      </c>
      <c r="L196" s="8">
        <v>500</v>
      </c>
      <c r="M196" s="8"/>
      <c r="N196" s="29">
        <f>N195*K196</f>
        <v>0</v>
      </c>
      <c r="O196" s="30"/>
      <c r="P196" s="30"/>
      <c r="Q196" s="30"/>
      <c r="R196" s="30"/>
      <c r="S196" s="30"/>
    </row>
    <row r="197" spans="2:19" ht="15" customHeight="1" x14ac:dyDescent="0.2">
      <c r="B197" s="30"/>
      <c r="C197" s="31"/>
      <c r="D197" s="30"/>
      <c r="E197" s="32"/>
      <c r="F197" s="30"/>
      <c r="G197" s="30"/>
      <c r="H197" s="30"/>
      <c r="I197" s="30"/>
      <c r="J197" s="8"/>
      <c r="K197" s="8"/>
      <c r="L197" s="8"/>
      <c r="M197" s="8"/>
      <c r="N197" s="29"/>
      <c r="O197" s="30"/>
      <c r="P197" s="30"/>
      <c r="Q197" s="30"/>
      <c r="R197" s="30"/>
      <c r="S197" s="30"/>
    </row>
    <row r="198" spans="2:19" ht="15" customHeight="1" x14ac:dyDescent="0.2">
      <c r="B198" s="30"/>
      <c r="C198" s="31"/>
      <c r="D198" s="30"/>
      <c r="E198" s="32"/>
      <c r="F198" s="30"/>
      <c r="G198" s="30"/>
      <c r="H198" s="30"/>
      <c r="I198" s="30"/>
      <c r="J198" s="30"/>
      <c r="K198" s="30"/>
      <c r="L198" s="30"/>
      <c r="M198" s="30"/>
      <c r="O198" s="42">
        <f>SUM(N196:N197)</f>
        <v>0</v>
      </c>
      <c r="P198" s="30"/>
      <c r="Q198" s="30"/>
      <c r="R198" s="30"/>
      <c r="S198" s="30"/>
    </row>
    <row r="199" spans="2:19" ht="15" customHeight="1" x14ac:dyDescent="0.2">
      <c r="B199" s="30"/>
      <c r="C199" s="31"/>
      <c r="D199" s="30"/>
      <c r="E199" s="32"/>
      <c r="F199" s="30"/>
      <c r="G199" s="30"/>
      <c r="H199" s="30"/>
      <c r="I199" s="30"/>
      <c r="J199" s="90" t="s">
        <v>1029</v>
      </c>
      <c r="K199" s="30"/>
      <c r="L199" s="30"/>
      <c r="M199" s="30"/>
      <c r="N199" s="30"/>
      <c r="O199" s="30"/>
      <c r="P199" s="30"/>
      <c r="Q199" s="30"/>
      <c r="R199" s="30"/>
      <c r="S199" s="30"/>
    </row>
    <row r="200" spans="2:19" ht="15" customHeight="1" x14ac:dyDescent="0.2">
      <c r="B200" s="30"/>
      <c r="C200" s="31"/>
      <c r="D200" s="30"/>
      <c r="E200" s="32"/>
      <c r="F200" s="30"/>
      <c r="G200" s="30"/>
      <c r="H200" s="30"/>
      <c r="I200" s="30"/>
      <c r="J200" s="7" t="s">
        <v>1029</v>
      </c>
      <c r="K200" s="7">
        <v>25</v>
      </c>
      <c r="L200" s="7">
        <v>1000</v>
      </c>
      <c r="M200" s="29">
        <v>8.5</v>
      </c>
      <c r="N200" s="29">
        <f>(M200*K200)/L200</f>
        <v>0.21249999999999999</v>
      </c>
      <c r="O200" s="30"/>
      <c r="P200" s="30"/>
      <c r="Q200" s="30"/>
      <c r="R200" s="30"/>
      <c r="S200" s="30"/>
    </row>
    <row r="201" spans="2:19" ht="15" customHeight="1" x14ac:dyDescent="0.2">
      <c r="B201" s="30"/>
      <c r="C201" s="31"/>
      <c r="D201" s="30"/>
      <c r="E201" s="32"/>
      <c r="F201" s="30"/>
      <c r="G201" s="30"/>
      <c r="H201" s="30"/>
      <c r="I201" s="30"/>
      <c r="J201" s="8" t="s">
        <v>54</v>
      </c>
      <c r="K201" s="7">
        <f>SUM(K200)</f>
        <v>25</v>
      </c>
      <c r="L201" s="7"/>
      <c r="M201" s="44"/>
      <c r="N201" s="29">
        <f>SUM(N200:N200)</f>
        <v>0.21249999999999999</v>
      </c>
      <c r="O201" s="30"/>
      <c r="P201" s="30"/>
      <c r="Q201" s="30"/>
      <c r="R201" s="30"/>
      <c r="S201" s="30"/>
    </row>
    <row r="202" spans="2:19" ht="15" customHeight="1" x14ac:dyDescent="0.2">
      <c r="B202" s="30"/>
      <c r="C202" s="31"/>
      <c r="D202" s="30"/>
      <c r="E202" s="32"/>
      <c r="F202" s="30"/>
      <c r="G202" s="30"/>
      <c r="H202" s="30"/>
      <c r="I202" s="30"/>
      <c r="J202" s="8" t="s">
        <v>52</v>
      </c>
      <c r="K202" s="51">
        <f>L202/K201</f>
        <v>20</v>
      </c>
      <c r="L202" s="8">
        <v>500</v>
      </c>
      <c r="M202" s="29"/>
      <c r="N202" s="29">
        <f>N201*K202</f>
        <v>4.25</v>
      </c>
      <c r="O202" s="30"/>
      <c r="P202" s="30"/>
      <c r="Q202" s="30"/>
      <c r="R202" s="30"/>
      <c r="S202" s="30"/>
    </row>
    <row r="203" spans="2:19" ht="15" customHeight="1" x14ac:dyDescent="0.2">
      <c r="B203" s="30"/>
      <c r="C203" s="31"/>
      <c r="D203" s="30"/>
      <c r="E203" s="32"/>
      <c r="F203" s="30"/>
      <c r="G203" s="30"/>
      <c r="H203" s="30"/>
      <c r="I203" s="30"/>
      <c r="J203" s="8" t="s">
        <v>1052</v>
      </c>
      <c r="K203" s="8"/>
      <c r="L203" s="8">
        <v>500</v>
      </c>
      <c r="M203" s="8"/>
      <c r="N203" s="29">
        <f>N202*K203</f>
        <v>0</v>
      </c>
      <c r="O203" s="30"/>
      <c r="P203" s="30"/>
      <c r="Q203" s="30"/>
      <c r="R203" s="30"/>
      <c r="S203" s="30"/>
    </row>
    <row r="204" spans="2:19" ht="15" customHeight="1" x14ac:dyDescent="0.2">
      <c r="B204" s="30"/>
      <c r="C204" s="31"/>
      <c r="D204" s="30"/>
      <c r="E204" s="32"/>
      <c r="F204" s="30"/>
      <c r="G204" s="30"/>
      <c r="H204" s="30"/>
      <c r="I204" s="30"/>
      <c r="J204" s="8" t="s">
        <v>1053</v>
      </c>
      <c r="K204" s="8">
        <f>L204/K202</f>
        <v>0</v>
      </c>
      <c r="L204" s="8">
        <f>F25</f>
        <v>0</v>
      </c>
      <c r="M204" s="8"/>
      <c r="N204" s="29"/>
      <c r="P204" s="30"/>
      <c r="Q204" s="30"/>
      <c r="R204" s="30"/>
      <c r="S204" s="30"/>
    </row>
    <row r="205" spans="2:19" ht="15" customHeight="1" x14ac:dyDescent="0.2">
      <c r="B205" s="30"/>
      <c r="C205" s="31"/>
      <c r="D205" s="30"/>
      <c r="E205" s="32"/>
      <c r="F205" s="30"/>
      <c r="G205" s="30"/>
      <c r="H205" s="30"/>
      <c r="I205" s="30"/>
      <c r="J205" s="30"/>
      <c r="K205" s="30"/>
      <c r="L205" s="30"/>
      <c r="M205" s="30"/>
      <c r="O205" s="42">
        <f>SUM(N203:N204)</f>
        <v>0</v>
      </c>
      <c r="P205" s="30"/>
      <c r="Q205" s="30"/>
      <c r="R205" s="30"/>
      <c r="S205" s="30"/>
    </row>
    <row r="206" spans="2:19" ht="15" customHeight="1" x14ac:dyDescent="0.2">
      <c r="B206" s="30"/>
      <c r="C206" s="31"/>
      <c r="D206" s="30"/>
      <c r="E206" s="32"/>
      <c r="F206" s="30"/>
      <c r="G206" s="30"/>
      <c r="H206" s="30"/>
      <c r="I206" s="30"/>
      <c r="J206" s="94" t="s">
        <v>1055</v>
      </c>
      <c r="K206" s="30"/>
      <c r="L206" s="30"/>
      <c r="M206" s="30"/>
      <c r="N206" s="30"/>
      <c r="O206" s="30"/>
      <c r="P206" s="30"/>
      <c r="Q206" s="30"/>
      <c r="R206" s="30"/>
      <c r="S206" s="30"/>
    </row>
    <row r="207" spans="2:19" ht="15" customHeight="1" x14ac:dyDescent="0.2">
      <c r="B207" s="30"/>
      <c r="C207" s="31"/>
      <c r="D207" s="30"/>
      <c r="E207" s="32"/>
      <c r="F207" s="30"/>
      <c r="G207" s="30"/>
      <c r="H207" s="30"/>
      <c r="I207" s="30"/>
      <c r="J207" s="8" t="s">
        <v>714</v>
      </c>
      <c r="K207" s="8">
        <v>50</v>
      </c>
      <c r="L207" s="8">
        <v>1000</v>
      </c>
      <c r="M207" s="29">
        <v>2.5</v>
      </c>
      <c r="N207" s="29">
        <f>(M207*K207)/L207</f>
        <v>0.125</v>
      </c>
      <c r="O207" s="30"/>
      <c r="P207" s="30"/>
      <c r="Q207" s="30"/>
      <c r="R207" s="30"/>
      <c r="S207" s="30"/>
    </row>
    <row r="208" spans="2:19" ht="15" customHeight="1" x14ac:dyDescent="0.2">
      <c r="B208" s="30"/>
      <c r="C208" s="31"/>
      <c r="D208" s="30"/>
      <c r="E208" s="32"/>
      <c r="F208" s="30"/>
      <c r="G208" s="30"/>
      <c r="H208" s="30"/>
      <c r="I208" s="30"/>
      <c r="J208" s="8" t="s">
        <v>52</v>
      </c>
      <c r="K208" s="8">
        <f>L208/K207</f>
        <v>14</v>
      </c>
      <c r="L208" s="8">
        <v>700</v>
      </c>
      <c r="M208" s="8"/>
      <c r="N208" s="29">
        <f>N207*K208</f>
        <v>1.75</v>
      </c>
      <c r="O208" s="30"/>
      <c r="P208" s="30"/>
      <c r="Q208" s="30"/>
      <c r="R208" s="30"/>
      <c r="S208" s="30"/>
    </row>
    <row r="209" spans="2:19" ht="15" customHeight="1" x14ac:dyDescent="0.2">
      <c r="B209" s="30"/>
      <c r="C209" s="31"/>
      <c r="D209" s="30"/>
      <c r="E209" s="32"/>
      <c r="F209" s="30"/>
      <c r="G209" s="30"/>
      <c r="H209" s="30"/>
      <c r="I209" s="30"/>
      <c r="J209" s="8" t="s">
        <v>53</v>
      </c>
      <c r="K209" s="8">
        <f>C28</f>
        <v>0</v>
      </c>
      <c r="L209" s="8">
        <v>700</v>
      </c>
      <c r="M209" s="29"/>
      <c r="N209" s="29">
        <f>(K209*N208)</f>
        <v>0</v>
      </c>
      <c r="O209" s="30"/>
      <c r="P209" s="30"/>
      <c r="Q209" s="30"/>
      <c r="R209" s="30"/>
      <c r="S209" s="30"/>
    </row>
    <row r="210" spans="2:19" ht="15" customHeight="1" x14ac:dyDescent="0.2">
      <c r="B210" s="30"/>
      <c r="C210" s="31"/>
      <c r="D210" s="30"/>
      <c r="E210" s="32"/>
      <c r="F210" s="30"/>
      <c r="G210" s="30"/>
      <c r="H210" s="30"/>
      <c r="I210" s="30"/>
      <c r="J210" s="8" t="s">
        <v>116</v>
      </c>
      <c r="K210" s="8">
        <f>L210/K207</f>
        <v>0</v>
      </c>
      <c r="L210" s="8">
        <f>F28</f>
        <v>0</v>
      </c>
      <c r="M210" s="8"/>
      <c r="N210" s="29">
        <f>N207*K210</f>
        <v>0</v>
      </c>
      <c r="O210" s="30"/>
      <c r="P210" s="30"/>
      <c r="Q210" s="30"/>
      <c r="R210" s="30"/>
      <c r="S210" s="30"/>
    </row>
    <row r="211" spans="2:19" ht="15" customHeight="1" x14ac:dyDescent="0.2">
      <c r="B211" s="30"/>
      <c r="C211" s="31"/>
      <c r="D211" s="30"/>
      <c r="E211" s="32"/>
      <c r="F211" s="30"/>
      <c r="G211" s="30"/>
      <c r="H211" s="30"/>
      <c r="I211" s="30"/>
      <c r="J211" s="30"/>
      <c r="K211" s="30"/>
      <c r="L211" s="30"/>
      <c r="M211" s="30"/>
      <c r="O211" s="42">
        <f>SUM(N209:N210)</f>
        <v>0</v>
      </c>
      <c r="P211" s="30"/>
      <c r="Q211" s="30"/>
      <c r="R211" s="30"/>
      <c r="S211" s="30"/>
    </row>
    <row r="212" spans="2:19" ht="15" customHeight="1" x14ac:dyDescent="0.2">
      <c r="B212" s="30"/>
      <c r="C212" s="31"/>
      <c r="D212" s="30"/>
      <c r="E212" s="32"/>
      <c r="F212" s="30"/>
      <c r="G212" s="30"/>
      <c r="H212" s="30"/>
      <c r="I212" s="30"/>
      <c r="J212" s="90" t="s">
        <v>1056</v>
      </c>
      <c r="K212" s="30"/>
      <c r="L212" s="30"/>
      <c r="M212" s="30"/>
      <c r="N212" s="30"/>
      <c r="O212" s="30"/>
      <c r="P212" s="30"/>
      <c r="Q212" s="30"/>
      <c r="R212" s="30"/>
      <c r="S212" s="30"/>
    </row>
    <row r="213" spans="2:19" ht="15" customHeight="1" x14ac:dyDescent="0.2">
      <c r="B213" s="30"/>
      <c r="C213" s="31"/>
      <c r="D213" s="30"/>
      <c r="E213" s="32"/>
      <c r="F213" s="30"/>
      <c r="G213" s="30"/>
      <c r="H213" s="30"/>
      <c r="I213" s="30"/>
      <c r="J213" s="7" t="s">
        <v>1057</v>
      </c>
      <c r="K213" s="8">
        <v>50</v>
      </c>
      <c r="L213" s="8">
        <v>1000</v>
      </c>
      <c r="M213" s="29">
        <v>17</v>
      </c>
      <c r="N213" s="29">
        <f>(M213*K213)/L213</f>
        <v>0.85</v>
      </c>
      <c r="O213" s="30"/>
      <c r="P213" s="30"/>
      <c r="Q213" s="30"/>
      <c r="R213" s="30"/>
      <c r="S213" s="30"/>
    </row>
    <row r="214" spans="2:19" ht="15" customHeight="1" x14ac:dyDescent="0.2">
      <c r="B214" s="30"/>
      <c r="C214" s="31"/>
      <c r="D214" s="30"/>
      <c r="E214" s="32"/>
      <c r="F214" s="30"/>
      <c r="G214" s="30"/>
      <c r="H214" s="30"/>
      <c r="I214" s="30"/>
      <c r="J214" s="7" t="s">
        <v>1058</v>
      </c>
      <c r="K214" s="8">
        <v>15</v>
      </c>
      <c r="L214" s="8">
        <v>700</v>
      </c>
      <c r="M214" s="29">
        <v>13.85</v>
      </c>
      <c r="N214" s="29">
        <f t="shared" ref="N214:N216" si="10">(M214*K214)/L214</f>
        <v>0.29678571428571426</v>
      </c>
      <c r="O214" s="30"/>
      <c r="P214" s="30"/>
      <c r="Q214" s="30"/>
      <c r="R214" s="30"/>
      <c r="S214" s="30"/>
    </row>
    <row r="215" spans="2:19" ht="15" customHeight="1" x14ac:dyDescent="0.2">
      <c r="B215" s="30"/>
      <c r="C215" s="31"/>
      <c r="D215" s="30"/>
      <c r="E215" s="32"/>
      <c r="F215" s="30"/>
      <c r="G215" s="30"/>
      <c r="H215" s="30"/>
      <c r="I215" s="30"/>
      <c r="J215" s="7" t="s">
        <v>58</v>
      </c>
      <c r="K215" s="8">
        <v>15</v>
      </c>
      <c r="L215" s="8">
        <v>1000</v>
      </c>
      <c r="M215" s="29">
        <v>1.99</v>
      </c>
      <c r="N215" s="29">
        <f t="shared" si="10"/>
        <v>2.9850000000000002E-2</v>
      </c>
      <c r="P215" s="30"/>
      <c r="Q215" s="30"/>
      <c r="R215" s="30"/>
      <c r="S215" s="30"/>
    </row>
    <row r="216" spans="2:19" ht="15" customHeight="1" x14ac:dyDescent="0.2">
      <c r="B216" s="30"/>
      <c r="C216" s="31"/>
      <c r="D216" s="30"/>
      <c r="E216" s="32"/>
      <c r="F216" s="30"/>
      <c r="G216" s="30"/>
      <c r="H216" s="30"/>
      <c r="I216" s="30"/>
      <c r="J216" s="7" t="s">
        <v>12</v>
      </c>
      <c r="K216" s="8">
        <v>15</v>
      </c>
      <c r="L216" s="8">
        <v>700</v>
      </c>
      <c r="M216" s="29">
        <v>10.46</v>
      </c>
      <c r="N216" s="29">
        <f t="shared" si="10"/>
        <v>0.22414285714285714</v>
      </c>
      <c r="O216" s="30"/>
      <c r="P216" s="30"/>
      <c r="Q216" s="30"/>
      <c r="R216" s="30"/>
      <c r="S216" s="30"/>
    </row>
    <row r="217" spans="2:19" ht="15" customHeight="1" x14ac:dyDescent="0.2">
      <c r="B217" s="30"/>
      <c r="C217" s="31"/>
      <c r="D217" s="30"/>
      <c r="E217" s="32"/>
      <c r="F217" s="30"/>
      <c r="G217" s="30"/>
      <c r="H217" s="30"/>
      <c r="I217" s="30"/>
      <c r="J217" s="7" t="s">
        <v>48</v>
      </c>
      <c r="K217" s="8">
        <f>SUM(K213:K216)</f>
        <v>95</v>
      </c>
      <c r="L217" s="8"/>
      <c r="M217" s="8"/>
      <c r="N217" s="29">
        <f>SUM(N213:N216)</f>
        <v>1.4007785714285714</v>
      </c>
      <c r="O217" s="30"/>
      <c r="P217" s="30"/>
      <c r="Q217" s="30"/>
      <c r="R217" s="30"/>
      <c r="S217" s="30"/>
    </row>
    <row r="218" spans="2:19" ht="15" customHeight="1" x14ac:dyDescent="0.2">
      <c r="B218" s="30"/>
      <c r="C218" s="31"/>
      <c r="D218" s="30"/>
      <c r="E218" s="32"/>
      <c r="F218" s="30"/>
      <c r="G218" s="30"/>
      <c r="H218" s="30"/>
      <c r="I218" s="30"/>
      <c r="J218" s="8" t="s">
        <v>52</v>
      </c>
      <c r="K218" s="8">
        <f>L218/K217</f>
        <v>7.3684210526315788</v>
      </c>
      <c r="L218" s="8">
        <v>700</v>
      </c>
      <c r="M218" s="8"/>
      <c r="N218" s="29">
        <f>N217*K218</f>
        <v>10.321526315789473</v>
      </c>
      <c r="O218" s="30"/>
      <c r="P218" s="30"/>
      <c r="Q218" s="30"/>
      <c r="R218" s="30"/>
      <c r="S218" s="30"/>
    </row>
    <row r="219" spans="2:19" ht="15" customHeight="1" x14ac:dyDescent="0.2">
      <c r="B219" s="30"/>
      <c r="C219" s="31"/>
      <c r="D219" s="30"/>
      <c r="E219" s="32"/>
      <c r="F219" s="30"/>
      <c r="G219" s="30"/>
      <c r="H219" s="30"/>
      <c r="I219" s="30"/>
      <c r="J219" s="7" t="s">
        <v>53</v>
      </c>
      <c r="K219" s="8">
        <f>C29</f>
        <v>0</v>
      </c>
      <c r="L219" s="8">
        <v>700</v>
      </c>
      <c r="M219" s="8"/>
      <c r="N219" s="29">
        <f>N217*K219</f>
        <v>0</v>
      </c>
      <c r="O219" s="30"/>
      <c r="P219" s="30"/>
      <c r="Q219" s="30"/>
      <c r="R219" s="30"/>
      <c r="S219" s="30"/>
    </row>
    <row r="220" spans="2:19" ht="15" customHeight="1" x14ac:dyDescent="0.2">
      <c r="B220" s="30"/>
      <c r="C220" s="31"/>
      <c r="D220" s="30"/>
      <c r="E220" s="32"/>
      <c r="F220" s="30"/>
      <c r="G220" s="30"/>
      <c r="H220" s="30"/>
      <c r="I220" s="30"/>
      <c r="J220" s="7" t="s">
        <v>822</v>
      </c>
      <c r="K220" s="8">
        <f>L220/K217</f>
        <v>0</v>
      </c>
      <c r="L220" s="8">
        <f>F29</f>
        <v>0</v>
      </c>
      <c r="M220" s="8"/>
      <c r="N220" s="29">
        <f>N217*K220</f>
        <v>0</v>
      </c>
      <c r="O220" s="30"/>
      <c r="P220" s="30"/>
      <c r="Q220" s="30"/>
      <c r="R220" s="30"/>
      <c r="S220" s="30"/>
    </row>
    <row r="221" spans="2:19" ht="15" customHeight="1" x14ac:dyDescent="0.2">
      <c r="B221" s="30"/>
      <c r="C221" s="31"/>
      <c r="D221" s="30"/>
      <c r="E221" s="32"/>
      <c r="F221" s="30"/>
      <c r="G221" s="30"/>
      <c r="H221" s="30"/>
      <c r="I221" s="30"/>
      <c r="J221" s="30"/>
      <c r="K221" s="30"/>
      <c r="L221" s="30"/>
      <c r="M221" s="30"/>
      <c r="O221" s="42">
        <f>SUM(N219:N220)</f>
        <v>0</v>
      </c>
      <c r="P221" s="30"/>
      <c r="Q221" s="30"/>
      <c r="R221" s="30"/>
      <c r="S221" s="30"/>
    </row>
    <row r="222" spans="2:19" ht="15" customHeight="1" x14ac:dyDescent="0.2">
      <c r="B222" s="30"/>
      <c r="C222" s="31"/>
      <c r="D222" s="30"/>
      <c r="E222" s="32"/>
      <c r="F222" s="30"/>
      <c r="G222" s="30"/>
      <c r="H222" s="30"/>
      <c r="I222" s="30"/>
      <c r="J222" s="90" t="s">
        <v>580</v>
      </c>
      <c r="K222" s="30"/>
      <c r="L222" s="30"/>
      <c r="M222" s="30"/>
      <c r="N222" s="30"/>
      <c r="O222" s="30"/>
      <c r="P222" s="30"/>
      <c r="Q222" s="30"/>
      <c r="R222" s="30"/>
      <c r="S222" s="30"/>
    </row>
    <row r="223" spans="2:19" ht="15" customHeight="1" x14ac:dyDescent="0.2">
      <c r="B223" s="30"/>
      <c r="C223" s="31"/>
      <c r="D223" s="30"/>
      <c r="E223" s="32"/>
      <c r="F223" s="30"/>
      <c r="G223" s="30"/>
      <c r="H223" s="30"/>
      <c r="I223" s="30"/>
      <c r="J223" s="7" t="s">
        <v>56</v>
      </c>
      <c r="K223" s="8">
        <v>50</v>
      </c>
      <c r="L223" s="8">
        <v>1200</v>
      </c>
      <c r="M223" s="29">
        <f>Producciones!F96</f>
        <v>12.757606190476192</v>
      </c>
      <c r="N223" s="29">
        <f>(M223*K223)/L223</f>
        <v>0.53156692460317467</v>
      </c>
      <c r="O223" s="30"/>
      <c r="P223" s="30"/>
      <c r="Q223" s="30"/>
      <c r="R223" s="30"/>
      <c r="S223" s="30"/>
    </row>
    <row r="224" spans="2:19" ht="15" customHeight="1" x14ac:dyDescent="0.2">
      <c r="B224" s="30"/>
      <c r="C224" s="31"/>
      <c r="D224" s="30"/>
      <c r="E224" s="32"/>
      <c r="F224" s="30"/>
      <c r="G224" s="30"/>
      <c r="H224" s="30"/>
      <c r="I224" s="30"/>
      <c r="J224" s="7" t="s">
        <v>739</v>
      </c>
      <c r="K224" s="8">
        <v>15</v>
      </c>
      <c r="L224" s="8">
        <v>700</v>
      </c>
      <c r="M224" s="29">
        <f>'Productos-precio'!D155</f>
        <v>12.19</v>
      </c>
      <c r="N224" s="29">
        <f t="shared" ref="N224:N225" si="11">(M224*K224)/L224</f>
        <v>0.26121428571428573</v>
      </c>
      <c r="P224" s="30"/>
      <c r="Q224" s="30"/>
      <c r="R224" s="30"/>
      <c r="S224" s="30"/>
    </row>
    <row r="225" spans="2:19" ht="15" customHeight="1" x14ac:dyDescent="0.2">
      <c r="B225" s="30"/>
      <c r="C225" s="31"/>
      <c r="D225" s="30"/>
      <c r="E225" s="32"/>
      <c r="F225" s="30"/>
      <c r="G225" s="30"/>
      <c r="H225" s="30"/>
      <c r="I225" s="30"/>
      <c r="J225" s="7" t="s">
        <v>58</v>
      </c>
      <c r="K225" s="8">
        <v>5</v>
      </c>
      <c r="L225" s="8">
        <v>1000</v>
      </c>
      <c r="M225" s="29">
        <f>Producciones!F131</f>
        <v>3.1661666666666668</v>
      </c>
      <c r="N225" s="29">
        <f t="shared" si="11"/>
        <v>1.5830833333333336E-2</v>
      </c>
      <c r="O225" s="30"/>
      <c r="P225" s="30"/>
      <c r="Q225" s="30"/>
      <c r="R225" s="30"/>
      <c r="S225" s="30"/>
    </row>
    <row r="226" spans="2:19" ht="15" customHeight="1" x14ac:dyDescent="0.2">
      <c r="B226" s="30"/>
      <c r="C226" s="31"/>
      <c r="D226" s="30"/>
      <c r="E226" s="32"/>
      <c r="F226" s="30"/>
      <c r="G226" s="30"/>
      <c r="H226" s="30"/>
      <c r="I226" s="30"/>
      <c r="J226" s="7" t="s">
        <v>48</v>
      </c>
      <c r="K226" s="8">
        <f>SUM(K223:K225)</f>
        <v>70</v>
      </c>
      <c r="L226" s="8"/>
      <c r="M226" s="8"/>
      <c r="N226" s="29">
        <f>SUM(N223:N225)</f>
        <v>0.80861204365079375</v>
      </c>
      <c r="O226" s="30"/>
      <c r="P226" s="30"/>
      <c r="Q226" s="30"/>
      <c r="R226" s="30"/>
      <c r="S226" s="30"/>
    </row>
    <row r="227" spans="2:19" ht="15" customHeight="1" x14ac:dyDescent="0.2">
      <c r="B227" s="30"/>
      <c r="C227" s="31"/>
      <c r="D227" s="30"/>
      <c r="E227" s="32"/>
      <c r="F227" s="30"/>
      <c r="G227" s="30"/>
      <c r="H227" s="30"/>
      <c r="I227" s="30"/>
      <c r="J227" s="8" t="s">
        <v>52</v>
      </c>
      <c r="K227" s="8">
        <f>L227/K226</f>
        <v>10</v>
      </c>
      <c r="L227" s="8">
        <v>700</v>
      </c>
      <c r="M227" s="8"/>
      <c r="N227" s="29">
        <f>N226*K227</f>
        <v>8.0861204365079367</v>
      </c>
      <c r="O227" s="30"/>
      <c r="P227" s="30"/>
      <c r="Q227" s="30"/>
      <c r="R227" s="30"/>
      <c r="S227" s="30"/>
    </row>
    <row r="228" spans="2:19" ht="15" customHeight="1" x14ac:dyDescent="0.2">
      <c r="B228" s="30"/>
      <c r="C228" s="31"/>
      <c r="D228" s="30"/>
      <c r="E228" s="32"/>
      <c r="F228" s="30"/>
      <c r="G228" s="30"/>
      <c r="H228" s="30"/>
      <c r="I228" s="30"/>
      <c r="J228" s="7" t="s">
        <v>53</v>
      </c>
      <c r="K228" s="8">
        <f>C37</f>
        <v>0</v>
      </c>
      <c r="L228" s="8">
        <v>700</v>
      </c>
      <c r="M228" s="8"/>
      <c r="N228" s="29">
        <f>N226*K228</f>
        <v>0</v>
      </c>
      <c r="O228" s="30"/>
      <c r="P228" s="30"/>
      <c r="Q228" s="30"/>
      <c r="R228" s="30"/>
      <c r="S228" s="30"/>
    </row>
    <row r="229" spans="2:19" ht="15" customHeight="1" x14ac:dyDescent="0.2">
      <c r="B229" s="30"/>
      <c r="C229" s="31"/>
      <c r="D229" s="30"/>
      <c r="E229" s="32"/>
      <c r="F229" s="30"/>
      <c r="G229" s="30"/>
      <c r="H229" s="30"/>
      <c r="I229" s="30"/>
      <c r="J229" s="7" t="s">
        <v>198</v>
      </c>
      <c r="K229" s="8">
        <f>L229/K226</f>
        <v>0</v>
      </c>
      <c r="L229" s="8">
        <f>F37</f>
        <v>0</v>
      </c>
      <c r="M229" s="8"/>
      <c r="N229" s="29">
        <f>N226*K229</f>
        <v>0</v>
      </c>
      <c r="O229" s="30"/>
      <c r="P229" s="30"/>
      <c r="Q229" s="30"/>
      <c r="R229" s="30"/>
      <c r="S229" s="30"/>
    </row>
    <row r="230" spans="2:19" ht="15" customHeight="1" x14ac:dyDescent="0.2">
      <c r="B230" s="30"/>
      <c r="C230" s="31"/>
      <c r="D230" s="30"/>
      <c r="E230" s="32"/>
      <c r="F230" s="30"/>
      <c r="G230" s="30"/>
      <c r="H230" s="30"/>
      <c r="I230" s="30"/>
      <c r="J230" s="30"/>
      <c r="K230" s="30"/>
      <c r="L230" s="30"/>
      <c r="M230" s="30"/>
      <c r="O230" s="42">
        <f>SUM(N228:N229)</f>
        <v>0</v>
      </c>
      <c r="P230" s="30"/>
      <c r="Q230" s="30"/>
      <c r="R230" s="30"/>
      <c r="S230" s="30"/>
    </row>
    <row r="231" spans="2:19" ht="15" customHeight="1" x14ac:dyDescent="0.2">
      <c r="B231" s="30"/>
      <c r="C231" s="31"/>
      <c r="D231" s="30"/>
      <c r="E231" s="32"/>
      <c r="F231" s="30"/>
      <c r="G231" s="30"/>
      <c r="H231" s="30"/>
      <c r="I231" s="30"/>
      <c r="J231" s="90" t="s">
        <v>1060</v>
      </c>
      <c r="K231" s="30"/>
      <c r="L231" s="30"/>
      <c r="M231" s="30"/>
      <c r="N231" s="30"/>
      <c r="O231" s="30"/>
      <c r="P231" s="30"/>
      <c r="Q231" s="30"/>
      <c r="R231" s="30"/>
      <c r="S231" s="30"/>
    </row>
    <row r="232" spans="2:19" ht="15" customHeight="1" x14ac:dyDescent="0.2">
      <c r="B232" s="30"/>
      <c r="C232" s="31"/>
      <c r="D232" s="30"/>
      <c r="E232" s="32"/>
      <c r="F232" s="30"/>
      <c r="G232" s="30"/>
      <c r="H232" s="30"/>
      <c r="I232" s="30"/>
      <c r="J232" s="7" t="s">
        <v>1061</v>
      </c>
      <c r="K232" s="8">
        <v>50</v>
      </c>
      <c r="L232" s="8">
        <v>700</v>
      </c>
      <c r="M232" s="213">
        <v>20.29</v>
      </c>
      <c r="N232" s="29">
        <f>(M232*K232)/L232</f>
        <v>1.4492857142857143</v>
      </c>
      <c r="O232" s="30"/>
      <c r="P232" s="30"/>
      <c r="Q232" s="30"/>
      <c r="R232" s="30"/>
      <c r="S232" s="30"/>
    </row>
    <row r="233" spans="2:19" ht="15" customHeight="1" x14ac:dyDescent="0.2">
      <c r="B233" s="30"/>
      <c r="C233" s="31"/>
      <c r="D233" s="30"/>
      <c r="E233" s="32"/>
      <c r="F233" s="30"/>
      <c r="G233" s="30"/>
      <c r="H233" s="30"/>
      <c r="I233" s="30"/>
      <c r="J233" s="7" t="s">
        <v>1062</v>
      </c>
      <c r="K233" s="8">
        <v>20</v>
      </c>
      <c r="L233" s="8">
        <v>500</v>
      </c>
      <c r="M233" s="213">
        <v>18.850000000000001</v>
      </c>
      <c r="N233" s="29">
        <f t="shared" ref="N233:N235" si="12">(M233*K233)/L233</f>
        <v>0.754</v>
      </c>
      <c r="O233" s="30"/>
      <c r="P233" s="30"/>
      <c r="Q233" s="30"/>
      <c r="R233" s="30"/>
      <c r="S233" s="30"/>
    </row>
    <row r="234" spans="2:19" ht="15" customHeight="1" x14ac:dyDescent="0.2">
      <c r="B234" s="30"/>
      <c r="C234" s="31"/>
      <c r="D234" s="30"/>
      <c r="E234" s="32"/>
      <c r="F234" s="30"/>
      <c r="G234" s="30"/>
      <c r="H234" s="30"/>
      <c r="I234" s="30"/>
      <c r="J234" s="7" t="s">
        <v>1063</v>
      </c>
      <c r="K234" s="8">
        <v>15</v>
      </c>
      <c r="L234" s="8">
        <v>700</v>
      </c>
      <c r="M234" s="213">
        <v>7.87</v>
      </c>
      <c r="N234" s="29">
        <f t="shared" si="12"/>
        <v>0.16864285714285715</v>
      </c>
      <c r="O234" s="30"/>
      <c r="P234" s="30"/>
      <c r="Q234" s="30"/>
      <c r="R234" s="30"/>
      <c r="S234" s="30"/>
    </row>
    <row r="235" spans="2:19" ht="15" customHeight="1" x14ac:dyDescent="0.2">
      <c r="B235" s="30"/>
      <c r="C235" s="31"/>
      <c r="D235" s="30"/>
      <c r="E235" s="32"/>
      <c r="F235" s="30"/>
      <c r="G235" s="30"/>
      <c r="H235" s="30"/>
      <c r="I235" s="30"/>
      <c r="J235" s="7" t="s">
        <v>1064</v>
      </c>
      <c r="K235" s="8">
        <v>10</v>
      </c>
      <c r="L235" s="8">
        <v>600</v>
      </c>
      <c r="M235" s="213">
        <v>7.06</v>
      </c>
      <c r="N235" s="29">
        <f t="shared" si="12"/>
        <v>0.11766666666666666</v>
      </c>
      <c r="P235" s="30"/>
      <c r="Q235" s="30"/>
      <c r="R235" s="30"/>
      <c r="S235" s="30"/>
    </row>
    <row r="236" spans="2:19" ht="15" customHeight="1" x14ac:dyDescent="0.2">
      <c r="B236" s="30"/>
      <c r="C236" s="31"/>
      <c r="D236" s="30"/>
      <c r="E236" s="32"/>
      <c r="F236" s="30"/>
      <c r="G236" s="30"/>
      <c r="H236" s="30"/>
      <c r="I236" s="30"/>
      <c r="J236" s="7" t="s">
        <v>48</v>
      </c>
      <c r="K236" s="8">
        <f>SUM(K232:K235)</f>
        <v>95</v>
      </c>
      <c r="L236" s="8"/>
      <c r="M236" s="8"/>
      <c r="N236" s="29">
        <f>SUM(N232:N235)</f>
        <v>2.4895952380952382</v>
      </c>
      <c r="O236" s="30"/>
      <c r="P236" s="30"/>
      <c r="Q236" s="30"/>
      <c r="R236" s="30"/>
      <c r="S236" s="30"/>
    </row>
    <row r="237" spans="2:19" ht="15" customHeight="1" x14ac:dyDescent="0.2">
      <c r="B237" s="30"/>
      <c r="C237" s="31"/>
      <c r="D237" s="30"/>
      <c r="E237" s="32"/>
      <c r="F237" s="30"/>
      <c r="G237" s="30"/>
      <c r="H237" s="30"/>
      <c r="I237" s="30"/>
      <c r="J237" s="8" t="s">
        <v>52</v>
      </c>
      <c r="K237" s="8">
        <f>L237/K236</f>
        <v>7.3684210526315788</v>
      </c>
      <c r="L237" s="8">
        <v>700</v>
      </c>
      <c r="M237" s="8"/>
      <c r="N237" s="29">
        <f>N236*K237</f>
        <v>18.344385964912281</v>
      </c>
      <c r="O237" s="30"/>
      <c r="P237" s="30"/>
      <c r="Q237" s="30"/>
      <c r="R237" s="30"/>
      <c r="S237" s="30"/>
    </row>
    <row r="238" spans="2:19" ht="15" customHeight="1" x14ac:dyDescent="0.2">
      <c r="B238" s="30"/>
      <c r="C238" s="31"/>
      <c r="D238" s="30"/>
      <c r="E238" s="32"/>
      <c r="F238" s="30"/>
      <c r="G238" s="30"/>
      <c r="H238" s="30"/>
      <c r="I238" s="30"/>
      <c r="J238" s="7" t="s">
        <v>53</v>
      </c>
      <c r="K238" s="8">
        <f>C30</f>
        <v>0</v>
      </c>
      <c r="L238" s="8">
        <v>700</v>
      </c>
      <c r="M238" s="8"/>
      <c r="N238" s="29">
        <f>N236*K238</f>
        <v>0</v>
      </c>
      <c r="O238" s="30"/>
      <c r="P238" s="30"/>
      <c r="Q238" s="30"/>
      <c r="R238" s="30"/>
      <c r="S238" s="30"/>
    </row>
    <row r="239" spans="2:19" ht="15" customHeight="1" x14ac:dyDescent="0.2">
      <c r="B239" s="30"/>
      <c r="C239" s="31"/>
      <c r="D239" s="30"/>
      <c r="E239" s="32"/>
      <c r="F239" s="30"/>
      <c r="G239" s="30"/>
      <c r="H239" s="30"/>
      <c r="I239" s="30"/>
      <c r="J239" s="7" t="s">
        <v>822</v>
      </c>
      <c r="K239" s="8">
        <f>L239/K236</f>
        <v>0</v>
      </c>
      <c r="L239" s="8">
        <f>F30</f>
        <v>0</v>
      </c>
      <c r="M239" s="8"/>
      <c r="N239" s="29">
        <f>N236*K239</f>
        <v>0</v>
      </c>
      <c r="O239" s="30"/>
      <c r="P239" s="30"/>
      <c r="Q239" s="30"/>
      <c r="R239" s="30"/>
      <c r="S239" s="30"/>
    </row>
    <row r="240" spans="2:19" ht="15" customHeight="1" x14ac:dyDescent="0.2">
      <c r="B240" s="30"/>
      <c r="C240" s="31"/>
      <c r="D240" s="30"/>
      <c r="E240" s="32"/>
      <c r="F240" s="30"/>
      <c r="G240" s="30"/>
      <c r="H240" s="30"/>
      <c r="I240" s="30"/>
      <c r="J240" s="30"/>
      <c r="K240" s="30"/>
      <c r="L240" s="30"/>
      <c r="M240" s="30"/>
      <c r="O240" s="42">
        <f>SUM(N238:N239)</f>
        <v>0</v>
      </c>
      <c r="P240" s="30"/>
      <c r="Q240" s="30"/>
      <c r="R240" s="30"/>
      <c r="S240" s="30"/>
    </row>
    <row r="241" spans="2:19" ht="15" customHeight="1" x14ac:dyDescent="0.2">
      <c r="B241" s="30"/>
      <c r="C241" s="31"/>
      <c r="D241" s="30"/>
      <c r="E241" s="32"/>
      <c r="F241" s="30"/>
      <c r="G241" s="30"/>
      <c r="H241" s="30"/>
      <c r="I241" s="30"/>
      <c r="J241" s="90" t="s">
        <v>1065</v>
      </c>
      <c r="K241" s="30"/>
      <c r="L241" s="30"/>
      <c r="M241" s="30"/>
      <c r="N241" s="30"/>
      <c r="O241" s="30"/>
      <c r="P241" s="30"/>
      <c r="Q241" s="30"/>
      <c r="R241" s="30"/>
      <c r="S241" s="30"/>
    </row>
    <row r="242" spans="2:19" ht="15" customHeight="1" x14ac:dyDescent="0.2">
      <c r="B242" s="30"/>
      <c r="C242" s="31"/>
      <c r="D242" s="30"/>
      <c r="E242" s="32"/>
      <c r="F242" s="30"/>
      <c r="G242" s="30"/>
      <c r="H242" s="30"/>
      <c r="I242" s="30"/>
      <c r="J242" s="7" t="s">
        <v>756</v>
      </c>
      <c r="K242" s="8">
        <v>10</v>
      </c>
      <c r="L242" s="8">
        <v>700</v>
      </c>
      <c r="M242" s="29">
        <v>12.32</v>
      </c>
      <c r="N242" s="29">
        <f>(K242*M242)/L242</f>
        <v>0.17600000000000002</v>
      </c>
      <c r="O242" s="30"/>
      <c r="P242" s="30"/>
      <c r="Q242" s="30"/>
      <c r="R242" s="30"/>
      <c r="S242" s="30"/>
    </row>
    <row r="243" spans="2:19" ht="15" customHeight="1" x14ac:dyDescent="0.2">
      <c r="B243" s="30"/>
      <c r="C243" s="31"/>
      <c r="D243" s="30"/>
      <c r="E243" s="32"/>
      <c r="F243" s="30"/>
      <c r="G243" s="30"/>
      <c r="H243" s="30"/>
      <c r="I243" s="30"/>
      <c r="J243" s="7" t="s">
        <v>1066</v>
      </c>
      <c r="K243" s="8">
        <v>15</v>
      </c>
      <c r="L243" s="8">
        <v>1000</v>
      </c>
      <c r="M243" s="29">
        <v>10</v>
      </c>
      <c r="N243" s="29">
        <f t="shared" ref="N243:N244" si="13">(K243*M243)/L243</f>
        <v>0.15</v>
      </c>
      <c r="O243" s="30"/>
      <c r="P243" s="30"/>
      <c r="Q243" s="30"/>
      <c r="R243" s="30"/>
      <c r="S243" s="30"/>
    </row>
    <row r="244" spans="2:19" ht="15" customHeight="1" x14ac:dyDescent="0.2">
      <c r="B244" s="30"/>
      <c r="C244" s="31"/>
      <c r="D244" s="30"/>
      <c r="E244" s="32"/>
      <c r="F244" s="30"/>
      <c r="G244" s="30"/>
      <c r="H244" s="30"/>
      <c r="I244" s="30"/>
      <c r="J244" s="7" t="s">
        <v>1067</v>
      </c>
      <c r="K244" s="8">
        <v>25</v>
      </c>
      <c r="L244" s="8">
        <v>700</v>
      </c>
      <c r="M244" s="29">
        <v>15.7</v>
      </c>
      <c r="N244" s="29">
        <f t="shared" si="13"/>
        <v>0.56071428571428572</v>
      </c>
      <c r="P244" s="30"/>
      <c r="Q244" s="30"/>
      <c r="R244" s="30"/>
      <c r="S244" s="30"/>
    </row>
    <row r="245" spans="2:19" ht="15" customHeight="1" x14ac:dyDescent="0.2">
      <c r="B245" s="30"/>
      <c r="C245" s="31"/>
      <c r="D245" s="30"/>
      <c r="E245" s="32"/>
      <c r="F245" s="30"/>
      <c r="G245" s="30"/>
      <c r="H245" s="30"/>
      <c r="I245" s="30"/>
      <c r="J245" s="7" t="s">
        <v>60</v>
      </c>
      <c r="K245" s="8">
        <v>25</v>
      </c>
      <c r="L245" s="8">
        <v>1000</v>
      </c>
      <c r="M245" s="29">
        <v>2.5</v>
      </c>
      <c r="N245" s="29">
        <f t="shared" ref="N245:N246" si="14">(K245*M245)/L245</f>
        <v>6.25E-2</v>
      </c>
      <c r="O245" s="30"/>
      <c r="P245" s="30"/>
      <c r="Q245" s="30"/>
      <c r="R245" s="30"/>
      <c r="S245" s="30"/>
    </row>
    <row r="246" spans="2:19" ht="15" customHeight="1" x14ac:dyDescent="0.2">
      <c r="B246" s="30"/>
      <c r="C246" s="31"/>
      <c r="D246" s="30"/>
      <c r="E246" s="32"/>
      <c r="F246" s="30"/>
      <c r="G246" s="30"/>
      <c r="H246" s="30"/>
      <c r="I246" s="30"/>
      <c r="J246" s="7" t="s">
        <v>1068</v>
      </c>
      <c r="K246" s="8">
        <v>15</v>
      </c>
      <c r="L246" s="8">
        <v>700</v>
      </c>
      <c r="M246" s="29">
        <v>7.41</v>
      </c>
      <c r="N246" s="29">
        <f t="shared" si="14"/>
        <v>0.15878571428571428</v>
      </c>
      <c r="O246" s="30"/>
      <c r="P246" s="30"/>
      <c r="Q246" s="30"/>
      <c r="R246" s="30"/>
      <c r="S246" s="30"/>
    </row>
    <row r="247" spans="2:19" ht="15" customHeight="1" x14ac:dyDescent="0.2">
      <c r="B247" s="30"/>
      <c r="C247" s="31"/>
      <c r="D247" s="30"/>
      <c r="E247" s="32"/>
      <c r="F247" s="30"/>
      <c r="G247" s="30"/>
      <c r="H247" s="30"/>
      <c r="I247" s="30"/>
      <c r="J247" s="7" t="s">
        <v>48</v>
      </c>
      <c r="K247" s="8">
        <f>SUM(K242:K246)</f>
        <v>90</v>
      </c>
      <c r="L247" s="8"/>
      <c r="M247" s="8"/>
      <c r="N247" s="29">
        <f>SUM(N242:N246)</f>
        <v>1.1080000000000001</v>
      </c>
      <c r="O247" s="30"/>
      <c r="P247" s="30"/>
      <c r="Q247" s="30"/>
      <c r="R247" s="30"/>
      <c r="S247" s="30"/>
    </row>
    <row r="248" spans="2:19" ht="15" customHeight="1" x14ac:dyDescent="0.2">
      <c r="B248" s="30"/>
      <c r="C248" s="31"/>
      <c r="D248" s="30"/>
      <c r="E248" s="32"/>
      <c r="F248" s="30"/>
      <c r="G248" s="30"/>
      <c r="H248" s="30"/>
      <c r="I248" s="30"/>
      <c r="J248" s="8" t="s">
        <v>52</v>
      </c>
      <c r="K248" s="8">
        <f>L248/K247</f>
        <v>7.7777777777777777</v>
      </c>
      <c r="L248" s="8">
        <v>700</v>
      </c>
      <c r="M248" s="8"/>
      <c r="N248" s="29">
        <f>N247*K248</f>
        <v>8.6177777777777784</v>
      </c>
      <c r="O248" s="30"/>
      <c r="P248" s="30"/>
      <c r="Q248" s="30"/>
      <c r="R248" s="30"/>
      <c r="S248" s="30"/>
    </row>
    <row r="249" spans="2:19" ht="15" customHeight="1" x14ac:dyDescent="0.2">
      <c r="B249" s="30"/>
      <c r="C249" s="31"/>
      <c r="D249" s="30"/>
      <c r="E249" s="32"/>
      <c r="F249" s="30"/>
      <c r="G249" s="30"/>
      <c r="H249" s="30"/>
      <c r="I249" s="30"/>
      <c r="J249" s="7" t="s">
        <v>53</v>
      </c>
      <c r="K249" s="8">
        <f>C34</f>
        <v>0</v>
      </c>
      <c r="L249" s="8">
        <v>700</v>
      </c>
      <c r="M249" s="8"/>
      <c r="N249" s="29">
        <f>N247*K249</f>
        <v>0</v>
      </c>
      <c r="O249" s="30"/>
      <c r="P249" s="30"/>
      <c r="Q249" s="30"/>
      <c r="R249" s="30"/>
      <c r="S249" s="30"/>
    </row>
    <row r="250" spans="2:19" ht="15" customHeight="1" x14ac:dyDescent="0.2">
      <c r="B250" s="30"/>
      <c r="C250" s="31"/>
      <c r="D250" s="30"/>
      <c r="E250" s="32"/>
      <c r="F250" s="30"/>
      <c r="G250" s="30"/>
      <c r="H250" s="30"/>
      <c r="I250" s="30"/>
      <c r="J250" s="7" t="s">
        <v>822</v>
      </c>
      <c r="K250" s="8">
        <f>L250/K247</f>
        <v>0</v>
      </c>
      <c r="L250" s="8">
        <f>F34</f>
        <v>0</v>
      </c>
      <c r="M250" s="8"/>
      <c r="N250" s="29">
        <f>N247*K250</f>
        <v>0</v>
      </c>
      <c r="O250" s="30"/>
      <c r="P250" s="30"/>
      <c r="Q250" s="30"/>
      <c r="R250" s="30"/>
      <c r="S250" s="30"/>
    </row>
    <row r="251" spans="2:19" ht="15" customHeight="1" x14ac:dyDescent="0.2">
      <c r="B251" s="30"/>
      <c r="C251" s="31"/>
      <c r="D251" s="30"/>
      <c r="E251" s="32"/>
      <c r="F251" s="30"/>
      <c r="G251" s="30"/>
      <c r="H251" s="30"/>
      <c r="I251" s="30"/>
      <c r="J251" s="30"/>
      <c r="K251" s="30"/>
      <c r="L251" s="30"/>
      <c r="M251" s="30"/>
      <c r="O251" s="42">
        <f>SUM(N249:N250)</f>
        <v>0</v>
      </c>
      <c r="P251" s="30"/>
      <c r="Q251" s="30"/>
      <c r="R251" s="30"/>
      <c r="S251" s="30"/>
    </row>
    <row r="252" spans="2:19" ht="15" customHeight="1" x14ac:dyDescent="0.2">
      <c r="B252" s="30"/>
      <c r="C252" s="31"/>
      <c r="D252" s="30"/>
      <c r="E252" s="32"/>
      <c r="F252" s="30"/>
      <c r="G252" s="30"/>
      <c r="H252" s="30"/>
      <c r="I252" s="30"/>
      <c r="J252" s="90" t="s">
        <v>742</v>
      </c>
      <c r="K252" s="30"/>
      <c r="L252" s="30"/>
      <c r="M252" s="30"/>
      <c r="N252" s="30"/>
      <c r="O252" s="30"/>
      <c r="P252" s="30"/>
      <c r="Q252" s="30"/>
      <c r="R252" s="30"/>
      <c r="S252" s="30"/>
    </row>
    <row r="253" spans="2:19" ht="15" customHeight="1" x14ac:dyDescent="0.2">
      <c r="B253" s="30"/>
      <c r="C253" s="31"/>
      <c r="D253" s="30"/>
      <c r="E253" s="32"/>
      <c r="F253" s="30"/>
      <c r="G253" s="30"/>
      <c r="H253" s="30"/>
      <c r="I253" s="30"/>
      <c r="J253" s="7" t="s">
        <v>743</v>
      </c>
      <c r="K253" s="8">
        <v>35</v>
      </c>
      <c r="L253" s="8">
        <v>700</v>
      </c>
      <c r="M253" s="29">
        <f>'Productos-precio'!D273</f>
        <v>12.67</v>
      </c>
      <c r="N253" s="29">
        <f>(M253*K253)/L253</f>
        <v>0.63349999999999995</v>
      </c>
      <c r="O253" s="30"/>
      <c r="P253" s="30"/>
      <c r="Q253" s="30"/>
      <c r="R253" s="30"/>
      <c r="S253" s="30"/>
    </row>
    <row r="254" spans="2:19" ht="15" customHeight="1" x14ac:dyDescent="0.2">
      <c r="B254" s="30"/>
      <c r="C254" s="31"/>
      <c r="D254" s="30"/>
      <c r="E254" s="32"/>
      <c r="F254" s="30"/>
      <c r="G254" s="30"/>
      <c r="H254" s="30"/>
      <c r="I254" s="30"/>
      <c r="J254" s="7" t="s">
        <v>744</v>
      </c>
      <c r="K254" s="8">
        <v>10</v>
      </c>
      <c r="L254" s="8">
        <v>1000</v>
      </c>
      <c r="M254" s="29">
        <f>'Productos-precio'!D147</f>
        <v>11.56</v>
      </c>
      <c r="N254" s="29">
        <f t="shared" ref="N254:N258" si="15">(M254*K254)/L254</f>
        <v>0.11560000000000001</v>
      </c>
      <c r="O254" s="30"/>
      <c r="P254" s="30"/>
      <c r="Q254" s="30"/>
      <c r="R254" s="30"/>
      <c r="S254" s="30"/>
    </row>
    <row r="255" spans="2:19" ht="15" customHeight="1" x14ac:dyDescent="0.2">
      <c r="B255" s="30"/>
      <c r="C255" s="31"/>
      <c r="D255" s="30"/>
      <c r="E255" s="32"/>
      <c r="F255" s="30"/>
      <c r="G255" s="30"/>
      <c r="H255" s="30"/>
      <c r="I255" s="30"/>
      <c r="J255" s="7" t="s">
        <v>745</v>
      </c>
      <c r="K255" s="8">
        <v>10</v>
      </c>
      <c r="L255" s="8">
        <v>700</v>
      </c>
      <c r="M255" s="29">
        <f>'Productos-precio'!D162</f>
        <v>10.199999999999999</v>
      </c>
      <c r="N255" s="29">
        <f t="shared" si="15"/>
        <v>0.14571428571428571</v>
      </c>
      <c r="O255" s="30"/>
      <c r="P255" s="30"/>
      <c r="Q255" s="30"/>
      <c r="R255" s="30"/>
      <c r="S255" s="30"/>
    </row>
    <row r="256" spans="2:19" ht="15" customHeight="1" x14ac:dyDescent="0.2">
      <c r="B256" s="30"/>
      <c r="C256" s="31"/>
      <c r="D256" s="30"/>
      <c r="E256" s="32"/>
      <c r="F256" s="30"/>
      <c r="G256" s="30"/>
      <c r="H256" s="30"/>
      <c r="I256" s="30"/>
      <c r="J256" s="7" t="s">
        <v>746</v>
      </c>
      <c r="K256" s="8">
        <v>15</v>
      </c>
      <c r="L256" s="8">
        <v>700</v>
      </c>
      <c r="M256" s="29">
        <f>'Productos-precio'!D213</f>
        <v>15</v>
      </c>
      <c r="N256" s="29">
        <f t="shared" si="15"/>
        <v>0.32142857142857145</v>
      </c>
      <c r="P256" s="30"/>
      <c r="Q256" s="30"/>
      <c r="R256" s="30"/>
      <c r="S256" s="30"/>
    </row>
    <row r="257" spans="2:19" ht="15" customHeight="1" x14ac:dyDescent="0.2">
      <c r="B257" s="30"/>
      <c r="C257" s="31"/>
      <c r="D257" s="30"/>
      <c r="E257" s="32"/>
      <c r="F257" s="30"/>
      <c r="G257" s="30"/>
      <c r="H257" s="30"/>
      <c r="I257" s="30"/>
      <c r="J257" s="7" t="s">
        <v>747</v>
      </c>
      <c r="K257" s="8">
        <v>15</v>
      </c>
      <c r="L257" s="8">
        <v>700</v>
      </c>
      <c r="M257" s="29">
        <f>'Productos-precio'!D191</f>
        <v>15.2</v>
      </c>
      <c r="N257" s="29">
        <f t="shared" ref="N257" si="16">(M257*K257)/L257</f>
        <v>0.32571428571428573</v>
      </c>
      <c r="O257" s="30"/>
      <c r="P257" s="30"/>
      <c r="Q257" s="30"/>
      <c r="R257" s="30"/>
      <c r="S257" s="30"/>
    </row>
    <row r="258" spans="2:19" ht="15" customHeight="1" x14ac:dyDescent="0.2">
      <c r="B258" s="30"/>
      <c r="C258" s="31"/>
      <c r="D258" s="30"/>
      <c r="E258" s="32"/>
      <c r="F258" s="30"/>
      <c r="G258" s="30"/>
      <c r="H258" s="30"/>
      <c r="I258" s="30"/>
      <c r="J258" s="7" t="s">
        <v>748</v>
      </c>
      <c r="K258" s="8">
        <v>20</v>
      </c>
      <c r="L258" s="8">
        <v>200</v>
      </c>
      <c r="M258" s="29">
        <f>'Productos-precio'!D259</f>
        <v>0.8</v>
      </c>
      <c r="N258" s="29">
        <f t="shared" si="15"/>
        <v>0.08</v>
      </c>
      <c r="O258" s="30"/>
      <c r="P258" s="30"/>
      <c r="Q258" s="30"/>
      <c r="R258" s="30"/>
      <c r="S258" s="30"/>
    </row>
    <row r="259" spans="2:19" ht="15" customHeight="1" x14ac:dyDescent="0.2">
      <c r="B259" s="30"/>
      <c r="C259" s="31"/>
      <c r="D259" s="30"/>
      <c r="E259" s="32"/>
      <c r="F259" s="30"/>
      <c r="G259" s="30"/>
      <c r="H259" s="30"/>
      <c r="I259" s="30"/>
      <c r="J259" s="7" t="s">
        <v>48</v>
      </c>
      <c r="K259" s="8">
        <f>SUM(K253:K258)</f>
        <v>105</v>
      </c>
      <c r="L259" s="8"/>
      <c r="M259" s="8"/>
      <c r="N259" s="29">
        <f>SUM(N253:N258)</f>
        <v>1.6219571428571431</v>
      </c>
      <c r="O259" s="30"/>
      <c r="P259" s="30"/>
      <c r="Q259" s="30"/>
      <c r="R259" s="30"/>
      <c r="S259" s="30"/>
    </row>
    <row r="260" spans="2:19" ht="15" customHeight="1" x14ac:dyDescent="0.2">
      <c r="B260" s="30"/>
      <c r="C260" s="31"/>
      <c r="D260" s="30"/>
      <c r="E260" s="32"/>
      <c r="F260" s="30"/>
      <c r="G260" s="30"/>
      <c r="H260" s="30"/>
      <c r="I260" s="30"/>
      <c r="J260" s="8" t="s">
        <v>52</v>
      </c>
      <c r="K260" s="8">
        <f>L260/K259</f>
        <v>6.666666666666667</v>
      </c>
      <c r="L260" s="8">
        <v>700</v>
      </c>
      <c r="M260" s="8"/>
      <c r="N260" s="29">
        <f>N259*K260</f>
        <v>10.813047619047621</v>
      </c>
      <c r="O260" s="30"/>
      <c r="P260" s="30"/>
      <c r="Q260" s="30"/>
      <c r="R260" s="30"/>
      <c r="S260" s="30"/>
    </row>
    <row r="261" spans="2:19" ht="15" customHeight="1" x14ac:dyDescent="0.2">
      <c r="B261" s="30"/>
      <c r="C261" s="31"/>
      <c r="D261" s="30"/>
      <c r="E261" s="32"/>
      <c r="F261" s="30"/>
      <c r="G261" s="30"/>
      <c r="H261" s="30"/>
      <c r="I261" s="30"/>
      <c r="J261" s="7" t="s">
        <v>53</v>
      </c>
      <c r="K261" s="8">
        <f>C41</f>
        <v>0</v>
      </c>
      <c r="L261" s="8">
        <v>700</v>
      </c>
      <c r="M261" s="8"/>
      <c r="N261" s="29">
        <f>N259*K261</f>
        <v>0</v>
      </c>
      <c r="O261" s="30"/>
      <c r="P261" s="30"/>
      <c r="Q261" s="30"/>
      <c r="R261" s="30"/>
      <c r="S261" s="30"/>
    </row>
    <row r="262" spans="2:19" ht="15" customHeight="1" x14ac:dyDescent="0.2">
      <c r="B262" s="30"/>
      <c r="C262" s="31"/>
      <c r="D262" s="30"/>
      <c r="E262" s="32"/>
      <c r="F262" s="30"/>
      <c r="G262" s="30"/>
      <c r="H262" s="30"/>
      <c r="I262" s="30"/>
      <c r="J262" s="7" t="s">
        <v>198</v>
      </c>
      <c r="K262" s="8">
        <f>L262/K259</f>
        <v>0</v>
      </c>
      <c r="L262" s="8">
        <f>F41</f>
        <v>0</v>
      </c>
      <c r="M262" s="8"/>
      <c r="N262" s="29">
        <f>N259*K262</f>
        <v>0</v>
      </c>
      <c r="O262" s="30"/>
      <c r="P262" s="30"/>
      <c r="Q262" s="30"/>
      <c r="R262" s="30"/>
      <c r="S262" s="30"/>
    </row>
    <row r="263" spans="2:19" ht="15" customHeight="1" x14ac:dyDescent="0.2">
      <c r="B263" s="30"/>
      <c r="C263" s="31"/>
      <c r="D263" s="30"/>
      <c r="E263" s="32"/>
      <c r="F263" s="30"/>
      <c r="G263" s="30"/>
      <c r="H263" s="30"/>
      <c r="I263" s="30"/>
      <c r="J263" s="30"/>
      <c r="K263" s="30"/>
      <c r="L263" s="30"/>
      <c r="M263" s="30"/>
      <c r="O263" s="42">
        <f>SUM(N261:N262)</f>
        <v>0</v>
      </c>
      <c r="P263" s="30"/>
      <c r="Q263" s="30"/>
      <c r="R263" s="30"/>
      <c r="S263" s="30"/>
    </row>
    <row r="264" spans="2:19" ht="15" customHeight="1" x14ac:dyDescent="0.2">
      <c r="B264" s="30"/>
      <c r="C264" s="31"/>
      <c r="D264" s="30"/>
      <c r="E264" s="32"/>
      <c r="F264" s="30"/>
      <c r="G264" s="30"/>
      <c r="H264" s="30"/>
      <c r="I264" s="30"/>
      <c r="J264" s="90" t="s">
        <v>1070</v>
      </c>
      <c r="K264" s="30"/>
      <c r="L264" s="30"/>
      <c r="M264" s="30"/>
      <c r="N264" s="30"/>
      <c r="O264" s="30"/>
      <c r="P264" s="30"/>
      <c r="Q264" s="30"/>
      <c r="R264" s="30"/>
      <c r="S264" s="30"/>
    </row>
    <row r="265" spans="2:19" ht="15" customHeight="1" x14ac:dyDescent="0.2">
      <c r="B265" s="30"/>
      <c r="C265" s="31"/>
      <c r="D265" s="30"/>
      <c r="E265" s="32"/>
      <c r="F265" s="30"/>
      <c r="G265" s="30"/>
      <c r="H265" s="30"/>
      <c r="I265" s="30"/>
      <c r="J265" s="7" t="s">
        <v>1168</v>
      </c>
      <c r="K265" s="8">
        <v>50</v>
      </c>
      <c r="L265" s="8">
        <v>1000</v>
      </c>
      <c r="M265" s="29">
        <v>15.41</v>
      </c>
      <c r="N265" s="29">
        <f>(M265*K265)/L265</f>
        <v>0.77049999999999996</v>
      </c>
      <c r="O265" s="30"/>
      <c r="P265" s="30"/>
      <c r="Q265" s="30"/>
      <c r="R265" s="30"/>
      <c r="S265" s="30"/>
    </row>
    <row r="266" spans="2:19" ht="15" customHeight="1" x14ac:dyDescent="0.2">
      <c r="B266" s="30"/>
      <c r="C266" s="31"/>
      <c r="D266" s="30"/>
      <c r="E266" s="32"/>
      <c r="F266" s="30"/>
      <c r="G266" s="30"/>
      <c r="H266" s="30"/>
      <c r="I266" s="30"/>
      <c r="J266" s="7" t="s">
        <v>1071</v>
      </c>
      <c r="K266" s="8">
        <v>25</v>
      </c>
      <c r="L266" s="8">
        <v>700</v>
      </c>
      <c r="M266" s="29">
        <v>2.4700000000000002</v>
      </c>
      <c r="N266" s="29">
        <f t="shared" ref="N266:N268" si="17">(M266*K266)/L266</f>
        <v>8.8214285714285731E-2</v>
      </c>
      <c r="P266" s="30"/>
      <c r="Q266" s="30"/>
      <c r="R266" s="30"/>
      <c r="S266" s="30"/>
    </row>
    <row r="267" spans="2:19" ht="15" customHeight="1" x14ac:dyDescent="0.2">
      <c r="B267" s="30"/>
      <c r="C267" s="31"/>
      <c r="D267" s="30"/>
      <c r="E267" s="32"/>
      <c r="F267" s="30"/>
      <c r="G267" s="30"/>
      <c r="H267" s="30"/>
      <c r="I267" s="30"/>
      <c r="J267" s="7" t="s">
        <v>1072</v>
      </c>
      <c r="K267" s="8">
        <v>20</v>
      </c>
      <c r="L267" s="8">
        <v>300</v>
      </c>
      <c r="M267" s="29">
        <v>1.2</v>
      </c>
      <c r="N267" s="29">
        <f t="shared" si="17"/>
        <v>0.08</v>
      </c>
      <c r="O267" s="30"/>
      <c r="P267" s="30"/>
      <c r="Q267" s="30"/>
      <c r="R267" s="30"/>
      <c r="S267" s="30"/>
    </row>
    <row r="268" spans="2:19" ht="15" customHeight="1" x14ac:dyDescent="0.2">
      <c r="B268" s="30"/>
      <c r="C268" s="31"/>
      <c r="D268" s="30"/>
      <c r="E268" s="32"/>
      <c r="F268" s="30"/>
      <c r="G268" s="30"/>
      <c r="H268" s="30"/>
      <c r="I268" s="30"/>
      <c r="J268" s="7" t="s">
        <v>1073</v>
      </c>
      <c r="K268" s="8">
        <v>15</v>
      </c>
      <c r="L268" s="8">
        <v>1000</v>
      </c>
      <c r="M268" s="29">
        <v>3</v>
      </c>
      <c r="N268" s="29">
        <f t="shared" si="17"/>
        <v>4.4999999999999998E-2</v>
      </c>
      <c r="O268" s="30"/>
      <c r="P268" s="30"/>
      <c r="Q268" s="30"/>
      <c r="R268" s="30"/>
      <c r="S268" s="30"/>
    </row>
    <row r="269" spans="2:19" ht="15" customHeight="1" x14ac:dyDescent="0.2">
      <c r="B269" s="30"/>
      <c r="C269" s="31"/>
      <c r="D269" s="30"/>
      <c r="E269" s="32"/>
      <c r="F269" s="30"/>
      <c r="G269" s="30"/>
      <c r="H269" s="30"/>
      <c r="I269" s="30"/>
      <c r="J269" s="7" t="s">
        <v>48</v>
      </c>
      <c r="K269" s="8">
        <f>SUM(K265:K268)</f>
        <v>110</v>
      </c>
      <c r="L269" s="8"/>
      <c r="M269" s="8"/>
      <c r="N269" s="29">
        <f>SUM(N265:N268)</f>
        <v>0.98371428571428565</v>
      </c>
      <c r="O269" s="30"/>
      <c r="P269" s="30"/>
      <c r="Q269" s="30"/>
      <c r="R269" s="30"/>
      <c r="S269" s="30"/>
    </row>
    <row r="270" spans="2:19" ht="15" customHeight="1" x14ac:dyDescent="0.2">
      <c r="B270" s="30"/>
      <c r="C270" s="31"/>
      <c r="D270" s="30"/>
      <c r="E270" s="32"/>
      <c r="F270" s="30"/>
      <c r="G270" s="30"/>
      <c r="H270" s="30"/>
      <c r="I270" s="30"/>
      <c r="J270" s="8" t="s">
        <v>52</v>
      </c>
      <c r="K270" s="8">
        <f>L270/K269</f>
        <v>6.3636363636363633</v>
      </c>
      <c r="L270" s="8">
        <v>700</v>
      </c>
      <c r="M270" s="8"/>
      <c r="N270" s="29">
        <f>N269*K270</f>
        <v>6.2599999999999989</v>
      </c>
      <c r="O270" s="30"/>
      <c r="P270" s="30"/>
      <c r="Q270" s="30"/>
      <c r="R270" s="30"/>
      <c r="S270" s="30"/>
    </row>
    <row r="271" spans="2:19" ht="15" customHeight="1" x14ac:dyDescent="0.2">
      <c r="B271" s="30"/>
      <c r="C271" s="31"/>
      <c r="D271" s="30"/>
      <c r="E271" s="32"/>
      <c r="F271" s="30"/>
      <c r="G271" s="30"/>
      <c r="H271" s="30"/>
      <c r="I271" s="30"/>
      <c r="J271" s="7" t="s">
        <v>53</v>
      </c>
      <c r="K271" s="8">
        <f>C35</f>
        <v>0</v>
      </c>
      <c r="L271" s="8">
        <v>700</v>
      </c>
      <c r="M271" s="8"/>
      <c r="N271" s="29">
        <f>N269*K271</f>
        <v>0</v>
      </c>
      <c r="O271" s="30"/>
      <c r="P271" s="30"/>
      <c r="Q271" s="30"/>
      <c r="R271" s="30"/>
      <c r="S271" s="30"/>
    </row>
    <row r="272" spans="2:19" ht="15" customHeight="1" x14ac:dyDescent="0.2">
      <c r="B272" s="30"/>
      <c r="C272" s="31"/>
      <c r="D272" s="30"/>
      <c r="E272" s="32"/>
      <c r="F272" s="30"/>
      <c r="G272" s="30"/>
      <c r="H272" s="30"/>
      <c r="I272" s="30"/>
      <c r="J272" s="7" t="s">
        <v>198</v>
      </c>
      <c r="K272" s="8">
        <f>L272/K269</f>
        <v>0</v>
      </c>
      <c r="L272" s="8">
        <f>F35</f>
        <v>0</v>
      </c>
      <c r="M272" s="8"/>
      <c r="N272" s="29">
        <f>N269*K272</f>
        <v>0</v>
      </c>
      <c r="O272" s="30"/>
      <c r="P272" s="30"/>
      <c r="Q272" s="30"/>
      <c r="R272" s="30"/>
      <c r="S272" s="30"/>
    </row>
    <row r="273" spans="2:19" ht="15" customHeight="1" x14ac:dyDescent="0.2">
      <c r="B273" s="30"/>
      <c r="C273" s="31"/>
      <c r="D273" s="30"/>
      <c r="E273" s="32"/>
      <c r="F273" s="30"/>
      <c r="G273" s="30"/>
      <c r="H273" s="30"/>
      <c r="I273" s="30"/>
      <c r="J273" s="30"/>
      <c r="K273" s="30"/>
      <c r="L273" s="30"/>
      <c r="M273" s="30"/>
      <c r="O273" s="42">
        <f>SUM(N271:N272)</f>
        <v>0</v>
      </c>
      <c r="P273" s="30"/>
      <c r="Q273" s="30"/>
      <c r="R273" s="30"/>
      <c r="S273" s="30"/>
    </row>
    <row r="274" spans="2:19" ht="15" customHeight="1" x14ac:dyDescent="0.2">
      <c r="B274" s="30"/>
      <c r="C274" s="31"/>
      <c r="D274" s="30"/>
      <c r="E274" s="32"/>
      <c r="F274" s="30"/>
      <c r="G274" s="30"/>
      <c r="H274" s="30"/>
      <c r="I274" s="30"/>
      <c r="J274" s="90" t="s">
        <v>1075</v>
      </c>
      <c r="K274" s="30"/>
      <c r="L274" s="30"/>
      <c r="M274" s="30"/>
      <c r="N274" s="30"/>
      <c r="P274" s="30"/>
      <c r="Q274" s="30"/>
      <c r="R274" s="30"/>
      <c r="S274" s="30"/>
    </row>
    <row r="275" spans="2:19" ht="15" customHeight="1" x14ac:dyDescent="0.2">
      <c r="B275" s="30"/>
      <c r="C275" s="31"/>
      <c r="D275" s="30"/>
      <c r="E275" s="32"/>
      <c r="F275" s="30"/>
      <c r="G275" s="30"/>
      <c r="H275" s="30"/>
      <c r="I275" s="30"/>
      <c r="J275" s="7" t="s">
        <v>1077</v>
      </c>
      <c r="K275" s="8">
        <v>50</v>
      </c>
      <c r="L275" s="69">
        <v>700</v>
      </c>
      <c r="M275" s="213">
        <v>20.86</v>
      </c>
      <c r="N275" s="29">
        <f>(K275*M275)/L275</f>
        <v>1.49</v>
      </c>
      <c r="O275" s="30"/>
      <c r="P275" s="30"/>
      <c r="Q275" s="30"/>
      <c r="R275" s="30"/>
      <c r="S275" s="30"/>
    </row>
    <row r="276" spans="2:19" ht="15" customHeight="1" x14ac:dyDescent="0.2">
      <c r="B276" s="30"/>
      <c r="C276" s="31"/>
      <c r="D276" s="30"/>
      <c r="E276" s="32"/>
      <c r="F276" s="30"/>
      <c r="G276" s="30"/>
      <c r="H276" s="30"/>
      <c r="I276" s="30"/>
      <c r="J276" s="7" t="s">
        <v>1050</v>
      </c>
      <c r="K276" s="8">
        <v>20</v>
      </c>
      <c r="L276" s="69">
        <v>700</v>
      </c>
      <c r="M276" s="213">
        <v>1.94</v>
      </c>
      <c r="N276" s="29">
        <f>(K276*M276)/L276</f>
        <v>5.5428571428571424E-2</v>
      </c>
      <c r="O276" s="30"/>
      <c r="P276" s="30"/>
      <c r="Q276" s="30"/>
      <c r="R276" s="30"/>
      <c r="S276" s="30"/>
    </row>
    <row r="277" spans="2:19" ht="15" customHeight="1" x14ac:dyDescent="0.2">
      <c r="B277" s="30"/>
      <c r="C277" s="31"/>
      <c r="D277" s="30"/>
      <c r="E277" s="32"/>
      <c r="F277" s="30"/>
      <c r="G277" s="30"/>
      <c r="H277" s="30"/>
      <c r="I277" s="30"/>
      <c r="J277" s="7" t="s">
        <v>48</v>
      </c>
      <c r="K277" s="8">
        <f>SUM(K275:K276)</f>
        <v>70</v>
      </c>
      <c r="L277" s="8"/>
      <c r="M277" s="8"/>
      <c r="N277" s="29">
        <f>SUM(N275:N276)</f>
        <v>1.5454285714285714</v>
      </c>
      <c r="O277" s="30"/>
      <c r="P277" s="30"/>
      <c r="Q277" s="30"/>
      <c r="R277" s="30"/>
      <c r="S277" s="30"/>
    </row>
    <row r="278" spans="2:19" ht="15" customHeight="1" x14ac:dyDescent="0.2">
      <c r="B278" s="30"/>
      <c r="C278" s="31"/>
      <c r="D278" s="30"/>
      <c r="E278" s="32"/>
      <c r="F278" s="30"/>
      <c r="G278" s="30"/>
      <c r="H278" s="30"/>
      <c r="I278" s="30"/>
      <c r="J278" s="8" t="s">
        <v>52</v>
      </c>
      <c r="K278" s="8">
        <f>L278/K277</f>
        <v>10</v>
      </c>
      <c r="L278" s="8">
        <v>700</v>
      </c>
      <c r="M278" s="8"/>
      <c r="N278" s="29">
        <f>N277*K278</f>
        <v>15.454285714285714</v>
      </c>
      <c r="O278" s="30"/>
      <c r="P278" s="30"/>
      <c r="Q278" s="30"/>
      <c r="R278" s="30"/>
      <c r="S278" s="30"/>
    </row>
    <row r="279" spans="2:19" ht="15" customHeight="1" x14ac:dyDescent="0.2">
      <c r="B279" s="30"/>
      <c r="C279" s="31"/>
      <c r="D279" s="30"/>
      <c r="E279" s="32"/>
      <c r="F279" s="30"/>
      <c r="G279" s="30"/>
      <c r="H279" s="30"/>
      <c r="I279" s="30"/>
      <c r="J279" s="7" t="s">
        <v>53</v>
      </c>
      <c r="K279" s="8">
        <f>C36</f>
        <v>0</v>
      </c>
      <c r="L279" s="8">
        <v>700</v>
      </c>
      <c r="M279" s="8"/>
      <c r="N279" s="29">
        <f>N277*K279</f>
        <v>0</v>
      </c>
      <c r="O279" s="30"/>
      <c r="P279" s="30"/>
      <c r="Q279" s="30"/>
      <c r="R279" s="30"/>
      <c r="S279" s="30"/>
    </row>
    <row r="280" spans="2:19" ht="15" customHeight="1" x14ac:dyDescent="0.2">
      <c r="B280" s="30"/>
      <c r="C280" s="31"/>
      <c r="D280" s="30"/>
      <c r="E280" s="32"/>
      <c r="F280" s="30"/>
      <c r="G280" s="30"/>
      <c r="H280" s="30"/>
      <c r="I280" s="30"/>
      <c r="J280" s="7" t="s">
        <v>822</v>
      </c>
      <c r="K280" s="8">
        <f>L280/K277</f>
        <v>0</v>
      </c>
      <c r="L280" s="8">
        <f>F36</f>
        <v>0</v>
      </c>
      <c r="M280" s="8"/>
      <c r="N280" s="29">
        <f>N277*K280</f>
        <v>0</v>
      </c>
      <c r="P280" s="30"/>
      <c r="Q280" s="30"/>
      <c r="R280" s="30"/>
      <c r="S280" s="30"/>
    </row>
    <row r="281" spans="2:19" ht="15" customHeight="1" x14ac:dyDescent="0.2">
      <c r="B281" s="30"/>
      <c r="C281" s="31"/>
      <c r="D281" s="30"/>
      <c r="E281" s="32"/>
      <c r="F281" s="30"/>
      <c r="G281" s="30"/>
      <c r="H281" s="30"/>
      <c r="I281" s="30"/>
      <c r="J281" s="30"/>
      <c r="K281" s="30"/>
      <c r="L281" s="30"/>
      <c r="M281" s="30"/>
      <c r="O281" s="42">
        <f>SUM(N279:N280)</f>
        <v>0</v>
      </c>
      <c r="P281" s="30"/>
      <c r="Q281" s="30"/>
      <c r="R281" s="30"/>
      <c r="S281" s="30"/>
    </row>
    <row r="282" spans="2:19" ht="15" customHeight="1" x14ac:dyDescent="0.2">
      <c r="B282" s="30"/>
      <c r="C282" s="31"/>
      <c r="D282" s="30"/>
      <c r="E282" s="32"/>
      <c r="F282" s="30"/>
      <c r="G282" s="30"/>
      <c r="H282" s="30"/>
      <c r="I282" s="30"/>
      <c r="J282" s="90" t="s">
        <v>1078</v>
      </c>
      <c r="K282" s="30"/>
      <c r="L282" s="30"/>
      <c r="M282" s="30"/>
      <c r="N282" s="30"/>
      <c r="O282" s="30"/>
      <c r="P282" s="30"/>
      <c r="Q282" s="30"/>
      <c r="R282" s="30"/>
      <c r="S282" s="30"/>
    </row>
    <row r="283" spans="2:19" ht="15" customHeight="1" x14ac:dyDescent="0.2">
      <c r="B283" s="30"/>
      <c r="C283" s="31"/>
      <c r="D283" s="30"/>
      <c r="E283" s="32"/>
      <c r="F283" s="30"/>
      <c r="G283" s="30"/>
      <c r="H283" s="30"/>
      <c r="I283" s="30"/>
      <c r="J283" s="7" t="s">
        <v>1079</v>
      </c>
      <c r="K283" s="8">
        <v>25</v>
      </c>
      <c r="L283" s="8">
        <v>700</v>
      </c>
      <c r="M283" s="29">
        <v>20</v>
      </c>
      <c r="N283" s="29">
        <f>(M283*K283)/L283</f>
        <v>0.7142857142857143</v>
      </c>
      <c r="O283" s="30"/>
      <c r="P283" s="30"/>
      <c r="Q283" s="30"/>
      <c r="R283" s="30"/>
      <c r="S283" s="30"/>
    </row>
    <row r="284" spans="2:19" ht="15" customHeight="1" x14ac:dyDescent="0.2">
      <c r="B284" s="30"/>
      <c r="C284" s="31"/>
      <c r="D284" s="30"/>
      <c r="E284" s="32"/>
      <c r="F284" s="30"/>
      <c r="G284" s="30"/>
      <c r="H284" s="30"/>
      <c r="I284" s="30"/>
      <c r="J284" s="7" t="s">
        <v>1080</v>
      </c>
      <c r="K284" s="8">
        <v>50</v>
      </c>
      <c r="L284" s="8">
        <v>900</v>
      </c>
      <c r="M284" s="29">
        <v>6.57</v>
      </c>
      <c r="N284" s="29">
        <v>0</v>
      </c>
      <c r="P284" s="30"/>
      <c r="Q284" s="30"/>
      <c r="R284" s="30"/>
      <c r="S284" s="30"/>
    </row>
    <row r="285" spans="2:19" ht="15" customHeight="1" x14ac:dyDescent="0.2">
      <c r="B285" s="30"/>
      <c r="C285" s="31"/>
      <c r="D285" s="30"/>
      <c r="E285" s="32"/>
      <c r="F285" s="30"/>
      <c r="G285" s="30"/>
      <c r="H285" s="30"/>
      <c r="I285" s="30"/>
      <c r="J285" s="7" t="s">
        <v>1081</v>
      </c>
      <c r="K285" s="8">
        <v>10</v>
      </c>
      <c r="L285" s="8">
        <v>500</v>
      </c>
      <c r="M285" s="29">
        <v>11.83</v>
      </c>
      <c r="N285" s="29">
        <f t="shared" ref="N285:N286" si="18">(M285*K285)/L285</f>
        <v>0.2366</v>
      </c>
      <c r="O285" s="30"/>
      <c r="P285" s="30"/>
      <c r="Q285" s="30"/>
      <c r="R285" s="30"/>
      <c r="S285" s="30"/>
    </row>
    <row r="286" spans="2:19" ht="15" customHeight="1" x14ac:dyDescent="0.2">
      <c r="B286" s="30"/>
      <c r="C286" s="31"/>
      <c r="D286" s="30"/>
      <c r="E286" s="32"/>
      <c r="F286" s="30"/>
      <c r="G286" s="30"/>
      <c r="H286" s="30"/>
      <c r="I286" s="30"/>
      <c r="J286" s="7" t="s">
        <v>1082</v>
      </c>
      <c r="K286" s="8">
        <v>10</v>
      </c>
      <c r="L286" s="8">
        <v>700</v>
      </c>
      <c r="M286" s="29">
        <v>5.22</v>
      </c>
      <c r="N286" s="29">
        <f t="shared" si="18"/>
        <v>7.4571428571428566E-2</v>
      </c>
      <c r="O286" s="30"/>
      <c r="P286" s="30"/>
      <c r="Q286" s="30"/>
      <c r="R286" s="30"/>
      <c r="S286" s="30"/>
    </row>
    <row r="287" spans="2:19" ht="15" customHeight="1" x14ac:dyDescent="0.2">
      <c r="B287" s="30"/>
      <c r="C287" s="31"/>
      <c r="D287" s="30"/>
      <c r="E287" s="32"/>
      <c r="F287" s="30"/>
      <c r="G287" s="30"/>
      <c r="H287" s="30"/>
      <c r="I287" s="30"/>
      <c r="J287" s="7" t="s">
        <v>48</v>
      </c>
      <c r="K287" s="8">
        <f>SUM(K283:K286)</f>
        <v>95</v>
      </c>
      <c r="L287" s="8"/>
      <c r="M287" s="8"/>
      <c r="N287" s="29">
        <f>SUM(N283:N286)</f>
        <v>1.0254571428571428</v>
      </c>
      <c r="O287" s="30"/>
      <c r="P287" s="30"/>
      <c r="Q287" s="30"/>
      <c r="R287" s="30"/>
      <c r="S287" s="30"/>
    </row>
    <row r="288" spans="2:19" ht="15" customHeight="1" x14ac:dyDescent="0.2">
      <c r="B288" s="30"/>
      <c r="C288" s="31"/>
      <c r="D288" s="30"/>
      <c r="E288" s="32"/>
      <c r="F288" s="30"/>
      <c r="G288" s="30"/>
      <c r="H288" s="30"/>
      <c r="I288" s="30"/>
      <c r="J288" s="8" t="s">
        <v>52</v>
      </c>
      <c r="K288" s="8">
        <f>L288/K287</f>
        <v>7.3684210526315788</v>
      </c>
      <c r="L288" s="8">
        <v>700</v>
      </c>
      <c r="M288" s="8"/>
      <c r="N288" s="29">
        <f>N287*K288</f>
        <v>7.556</v>
      </c>
      <c r="O288" s="30"/>
      <c r="P288" s="30"/>
      <c r="Q288" s="30"/>
      <c r="R288" s="30"/>
      <c r="S288" s="30"/>
    </row>
    <row r="289" spans="2:19" ht="15" customHeight="1" x14ac:dyDescent="0.2">
      <c r="B289" s="30"/>
      <c r="C289" s="31"/>
      <c r="D289" s="30"/>
      <c r="E289" s="32"/>
      <c r="F289" s="30"/>
      <c r="G289" s="30"/>
      <c r="H289" s="30"/>
      <c r="I289" s="30"/>
      <c r="J289" s="7" t="s">
        <v>53</v>
      </c>
      <c r="K289" s="8">
        <f>C38</f>
        <v>0</v>
      </c>
      <c r="L289" s="8">
        <v>700</v>
      </c>
      <c r="M289" s="8"/>
      <c r="N289" s="29">
        <f>N287*K289</f>
        <v>0</v>
      </c>
      <c r="O289" s="30"/>
      <c r="P289" s="30"/>
      <c r="Q289" s="30"/>
      <c r="R289" s="30"/>
      <c r="S289" s="30"/>
    </row>
    <row r="290" spans="2:19" ht="15" customHeight="1" x14ac:dyDescent="0.2">
      <c r="B290" s="30"/>
      <c r="C290" s="31"/>
      <c r="D290" s="30"/>
      <c r="E290" s="32"/>
      <c r="F290" s="30"/>
      <c r="G290" s="30"/>
      <c r="H290" s="30"/>
      <c r="I290" s="30"/>
      <c r="J290" s="7" t="s">
        <v>198</v>
      </c>
      <c r="K290" s="8">
        <f>L290/K287</f>
        <v>0</v>
      </c>
      <c r="L290" s="8">
        <f>F38</f>
        <v>0</v>
      </c>
      <c r="M290" s="8"/>
      <c r="N290" s="29">
        <f>N287*K290</f>
        <v>0</v>
      </c>
      <c r="O290" s="30"/>
      <c r="P290" s="30"/>
      <c r="Q290" s="30"/>
      <c r="R290" s="30"/>
      <c r="S290" s="30"/>
    </row>
    <row r="291" spans="2:19" ht="15" customHeight="1" x14ac:dyDescent="0.2">
      <c r="B291" s="30"/>
      <c r="C291" s="31"/>
      <c r="D291" s="30"/>
      <c r="E291" s="32"/>
      <c r="F291" s="30"/>
      <c r="G291" s="30"/>
      <c r="H291" s="30"/>
      <c r="I291" s="30"/>
      <c r="J291" s="30"/>
      <c r="K291" s="30"/>
      <c r="L291" s="30"/>
      <c r="M291" s="30"/>
      <c r="O291" s="42">
        <f>SUM(N289:N290)</f>
        <v>0</v>
      </c>
      <c r="P291" s="30"/>
      <c r="Q291" s="30"/>
      <c r="R291" s="30"/>
      <c r="S291" s="30"/>
    </row>
    <row r="292" spans="2:19" ht="15" customHeight="1" x14ac:dyDescent="0.2">
      <c r="B292" s="30"/>
      <c r="C292" s="31"/>
      <c r="D292" s="30"/>
      <c r="E292" s="32"/>
      <c r="F292" s="30"/>
      <c r="G292" s="30"/>
      <c r="H292" s="30"/>
      <c r="I292" s="30"/>
      <c r="J292" s="90" t="s">
        <v>1083</v>
      </c>
      <c r="K292" s="30"/>
      <c r="L292" s="30"/>
      <c r="M292" s="30"/>
      <c r="N292" s="30"/>
      <c r="P292" s="30"/>
      <c r="Q292" s="30"/>
      <c r="R292" s="30"/>
      <c r="S292" s="30"/>
    </row>
    <row r="293" spans="2:19" ht="15" customHeight="1" x14ac:dyDescent="0.2">
      <c r="B293" s="30"/>
      <c r="C293" s="31"/>
      <c r="D293" s="30"/>
      <c r="E293" s="32"/>
      <c r="F293" s="30"/>
      <c r="G293" s="30"/>
      <c r="H293" s="30"/>
      <c r="I293" s="30"/>
      <c r="J293" s="7" t="s">
        <v>1084</v>
      </c>
      <c r="K293" s="8">
        <v>30</v>
      </c>
      <c r="L293" s="8">
        <v>1400</v>
      </c>
      <c r="M293" s="29">
        <v>25.62</v>
      </c>
      <c r="N293" s="29">
        <f t="shared" ref="N293:N295" si="19">(M293*K293)/L293</f>
        <v>0.54900000000000004</v>
      </c>
      <c r="O293" s="30"/>
      <c r="P293" s="30"/>
      <c r="Q293" s="30"/>
      <c r="R293" s="30"/>
      <c r="S293" s="30"/>
    </row>
    <row r="294" spans="2:19" ht="15" customHeight="1" x14ac:dyDescent="0.2">
      <c r="B294" s="30"/>
      <c r="C294" s="31"/>
      <c r="D294" s="30"/>
      <c r="E294" s="32"/>
      <c r="F294" s="30"/>
      <c r="G294" s="30"/>
      <c r="H294" s="30"/>
      <c r="I294" s="30"/>
      <c r="J294" s="7" t="s">
        <v>1085</v>
      </c>
      <c r="K294" s="8">
        <v>15</v>
      </c>
      <c r="L294" s="8">
        <v>1000</v>
      </c>
      <c r="M294" s="29">
        <v>6.99</v>
      </c>
      <c r="N294" s="29">
        <f t="shared" si="19"/>
        <v>0.10485000000000001</v>
      </c>
      <c r="O294" s="30"/>
      <c r="P294" s="30"/>
      <c r="Q294" s="30"/>
      <c r="R294" s="30"/>
      <c r="S294" s="30"/>
    </row>
    <row r="295" spans="2:19" ht="15" customHeight="1" x14ac:dyDescent="0.2">
      <c r="B295" s="30"/>
      <c r="C295" s="31"/>
      <c r="D295" s="30"/>
      <c r="E295" s="32"/>
      <c r="F295" s="30"/>
      <c r="G295" s="30"/>
      <c r="H295" s="30"/>
      <c r="I295" s="30"/>
      <c r="J295" s="7" t="s">
        <v>1086</v>
      </c>
      <c r="K295" s="8">
        <v>5</v>
      </c>
      <c r="L295" s="8">
        <v>500</v>
      </c>
      <c r="M295" s="29">
        <v>22.5</v>
      </c>
      <c r="N295" s="29">
        <f t="shared" si="19"/>
        <v>0.22500000000000001</v>
      </c>
      <c r="O295" s="30"/>
      <c r="P295" s="30"/>
      <c r="Q295" s="30"/>
      <c r="R295" s="30"/>
      <c r="S295" s="30"/>
    </row>
    <row r="296" spans="2:19" ht="15" customHeight="1" x14ac:dyDescent="0.2">
      <c r="B296" s="30"/>
      <c r="C296" s="31"/>
      <c r="D296" s="30"/>
      <c r="E296" s="32"/>
      <c r="F296" s="30"/>
      <c r="G296" s="30"/>
      <c r="H296" s="30"/>
      <c r="I296" s="30"/>
      <c r="J296" s="7" t="s">
        <v>48</v>
      </c>
      <c r="K296" s="8">
        <f>SUM(K293:K295)</f>
        <v>50</v>
      </c>
      <c r="L296" s="8"/>
      <c r="M296" s="8"/>
      <c r="N296" s="29">
        <f>SUM(N293:N295)</f>
        <v>0.87885000000000002</v>
      </c>
      <c r="O296" s="30"/>
      <c r="P296" s="30"/>
      <c r="Q296" s="30"/>
      <c r="R296" s="30"/>
      <c r="S296" s="30"/>
    </row>
    <row r="297" spans="2:19" ht="15" customHeight="1" x14ac:dyDescent="0.2">
      <c r="B297" s="30"/>
      <c r="C297" s="31"/>
      <c r="D297" s="30"/>
      <c r="E297" s="32"/>
      <c r="F297" s="30"/>
      <c r="G297" s="30"/>
      <c r="H297" s="30"/>
      <c r="I297" s="30"/>
      <c r="J297" s="8" t="s">
        <v>52</v>
      </c>
      <c r="K297" s="8">
        <f>L297/K296</f>
        <v>14</v>
      </c>
      <c r="L297" s="8">
        <v>700</v>
      </c>
      <c r="M297" s="8"/>
      <c r="N297" s="29">
        <f>N296*K297</f>
        <v>12.303900000000001</v>
      </c>
      <c r="O297" s="30"/>
      <c r="P297" s="30"/>
      <c r="Q297" s="30"/>
      <c r="R297" s="30"/>
      <c r="S297" s="30"/>
    </row>
    <row r="298" spans="2:19" ht="15" customHeight="1" x14ac:dyDescent="0.2">
      <c r="B298" s="30"/>
      <c r="C298" s="31"/>
      <c r="D298" s="30"/>
      <c r="E298" s="32"/>
      <c r="F298" s="30"/>
      <c r="G298" s="30"/>
      <c r="H298" s="30"/>
      <c r="I298" s="30"/>
      <c r="J298" s="7" t="s">
        <v>53</v>
      </c>
      <c r="K298" s="8">
        <f>C39</f>
        <v>0</v>
      </c>
      <c r="L298" s="8">
        <v>700</v>
      </c>
      <c r="M298" s="8"/>
      <c r="N298" s="29">
        <f>N296*K298</f>
        <v>0</v>
      </c>
      <c r="O298" s="30"/>
      <c r="P298" s="30"/>
      <c r="Q298" s="30"/>
      <c r="R298" s="30"/>
      <c r="S298" s="30"/>
    </row>
    <row r="299" spans="2:19" ht="15" customHeight="1" x14ac:dyDescent="0.2">
      <c r="B299" s="30"/>
      <c r="C299" s="31"/>
      <c r="D299" s="30"/>
      <c r="E299" s="32"/>
      <c r="F299" s="30"/>
      <c r="G299" s="30"/>
      <c r="H299" s="30"/>
      <c r="I299" s="30"/>
      <c r="J299" s="7" t="s">
        <v>198</v>
      </c>
      <c r="K299" s="8">
        <f>L299/K296</f>
        <v>0</v>
      </c>
      <c r="L299" s="8">
        <f>F39</f>
        <v>0</v>
      </c>
      <c r="M299" s="8"/>
      <c r="N299" s="29">
        <f>N296*K299</f>
        <v>0</v>
      </c>
      <c r="O299" s="30"/>
      <c r="P299" s="30"/>
      <c r="Q299" s="30"/>
      <c r="R299" s="30"/>
      <c r="S299" s="30"/>
    </row>
    <row r="300" spans="2:19" ht="15" customHeight="1" x14ac:dyDescent="0.2">
      <c r="B300" s="30"/>
      <c r="C300" s="31"/>
      <c r="D300" s="30"/>
      <c r="E300" s="32"/>
      <c r="F300" s="30"/>
      <c r="G300" s="30"/>
      <c r="H300" s="30"/>
      <c r="I300" s="30"/>
      <c r="J300" s="30"/>
      <c r="K300" s="30"/>
      <c r="L300" s="30"/>
      <c r="M300" s="30"/>
      <c r="O300" s="42">
        <f>SUM(N298:N299)</f>
        <v>0</v>
      </c>
      <c r="P300" s="30"/>
      <c r="Q300" s="30"/>
      <c r="R300" s="30"/>
      <c r="S300" s="30"/>
    </row>
    <row r="301" spans="2:19" ht="15" customHeight="1" x14ac:dyDescent="0.2">
      <c r="B301" s="30"/>
      <c r="C301" s="31"/>
      <c r="D301" s="30"/>
      <c r="E301" s="32"/>
      <c r="F301" s="30"/>
      <c r="G301" s="30"/>
      <c r="H301" s="30"/>
      <c r="I301" s="30"/>
      <c r="J301" s="90" t="s">
        <v>1088</v>
      </c>
      <c r="K301" s="30"/>
      <c r="L301" s="30"/>
      <c r="M301" s="30"/>
      <c r="N301" s="30"/>
      <c r="P301" s="30"/>
      <c r="Q301" s="30"/>
      <c r="R301" s="30"/>
      <c r="S301" s="30"/>
    </row>
    <row r="302" spans="2:19" ht="15" customHeight="1" x14ac:dyDescent="0.2">
      <c r="B302" s="30"/>
      <c r="C302" s="31"/>
      <c r="D302" s="30"/>
      <c r="E302" s="32"/>
      <c r="F302" s="30"/>
      <c r="G302" s="30"/>
      <c r="H302" s="30"/>
      <c r="I302" s="30"/>
      <c r="J302" s="7" t="s">
        <v>1089</v>
      </c>
      <c r="K302" s="8">
        <v>25</v>
      </c>
      <c r="L302" s="8">
        <v>1000</v>
      </c>
      <c r="M302" s="29">
        <v>11.46</v>
      </c>
      <c r="N302" s="29">
        <f>(M302*K302)/L302</f>
        <v>0.28649999999999998</v>
      </c>
      <c r="O302" s="30"/>
      <c r="P302" s="30"/>
      <c r="Q302" s="30"/>
      <c r="R302" s="30"/>
      <c r="S302" s="30"/>
    </row>
    <row r="303" spans="2:19" ht="15" customHeight="1" x14ac:dyDescent="0.2">
      <c r="B303" s="30"/>
      <c r="C303" s="31"/>
      <c r="D303" s="30"/>
      <c r="E303" s="32"/>
      <c r="F303" s="30"/>
      <c r="G303" s="30"/>
      <c r="H303" s="30"/>
      <c r="I303" s="30"/>
      <c r="J303" s="7" t="s">
        <v>466</v>
      </c>
      <c r="K303" s="8">
        <v>20</v>
      </c>
      <c r="L303" s="8">
        <v>700</v>
      </c>
      <c r="M303" s="29">
        <v>9.2100000000000009</v>
      </c>
      <c r="N303" s="29">
        <f t="shared" ref="N303:N304" si="20">(M303*K303)/L303</f>
        <v>0.26314285714285718</v>
      </c>
      <c r="O303" s="30"/>
      <c r="P303" s="30"/>
      <c r="Q303" s="30"/>
      <c r="R303" s="30"/>
      <c r="S303" s="30"/>
    </row>
    <row r="304" spans="2:19" ht="15" customHeight="1" x14ac:dyDescent="0.2">
      <c r="B304" s="30"/>
      <c r="C304" s="31"/>
      <c r="D304" s="30"/>
      <c r="E304" s="32"/>
      <c r="F304" s="30"/>
      <c r="G304" s="30"/>
      <c r="H304" s="30"/>
      <c r="I304" s="30"/>
      <c r="J304" s="7" t="s">
        <v>993</v>
      </c>
      <c r="K304" s="8">
        <v>10</v>
      </c>
      <c r="L304" s="8">
        <v>700</v>
      </c>
      <c r="M304" s="29">
        <v>23</v>
      </c>
      <c r="N304" s="29">
        <f t="shared" si="20"/>
        <v>0.32857142857142857</v>
      </c>
      <c r="O304" s="30"/>
      <c r="P304" s="30"/>
      <c r="Q304" s="30"/>
      <c r="R304" s="30"/>
      <c r="S304" s="30"/>
    </row>
    <row r="305" spans="2:19" ht="15" customHeight="1" x14ac:dyDescent="0.2">
      <c r="B305" s="30"/>
      <c r="C305" s="31"/>
      <c r="D305" s="30"/>
      <c r="E305" s="32"/>
      <c r="F305" s="30"/>
      <c r="G305" s="30"/>
      <c r="H305" s="30"/>
      <c r="I305" s="30"/>
      <c r="J305" s="7" t="s">
        <v>48</v>
      </c>
      <c r="K305" s="8">
        <f>SUM(K302:K304)</f>
        <v>55</v>
      </c>
      <c r="L305" s="8"/>
      <c r="M305" s="8"/>
      <c r="N305" s="29">
        <f>SUM(N302:N304)</f>
        <v>0.87821428571428561</v>
      </c>
      <c r="O305" s="30"/>
      <c r="P305" s="30"/>
      <c r="Q305" s="30"/>
      <c r="R305" s="30"/>
      <c r="S305" s="30"/>
    </row>
    <row r="306" spans="2:19" ht="15" customHeight="1" x14ac:dyDescent="0.2">
      <c r="B306" s="30"/>
      <c r="C306" s="31"/>
      <c r="D306" s="30"/>
      <c r="E306" s="32"/>
      <c r="F306" s="30"/>
      <c r="G306" s="30"/>
      <c r="H306" s="30"/>
      <c r="I306" s="30"/>
      <c r="J306" s="8" t="s">
        <v>52</v>
      </c>
      <c r="K306" s="8">
        <f>L306/K305</f>
        <v>12.727272727272727</v>
      </c>
      <c r="L306" s="8">
        <v>700</v>
      </c>
      <c r="M306" s="8"/>
      <c r="N306" s="29">
        <f>N305*K306</f>
        <v>11.177272727272726</v>
      </c>
      <c r="O306" s="30"/>
      <c r="P306" s="30"/>
      <c r="Q306" s="30"/>
      <c r="R306" s="30"/>
      <c r="S306" s="30"/>
    </row>
    <row r="307" spans="2:19" ht="15" customHeight="1" x14ac:dyDescent="0.2">
      <c r="B307" s="30"/>
      <c r="C307" s="31"/>
      <c r="D307" s="30"/>
      <c r="E307" s="32"/>
      <c r="F307" s="30"/>
      <c r="G307" s="30"/>
      <c r="H307" s="30"/>
      <c r="I307" s="30"/>
      <c r="J307" s="7" t="s">
        <v>53</v>
      </c>
      <c r="K307" s="8">
        <f>C40</f>
        <v>0</v>
      </c>
      <c r="L307" s="8">
        <v>700</v>
      </c>
      <c r="M307" s="8"/>
      <c r="N307" s="29">
        <f>N305*K307</f>
        <v>0</v>
      </c>
      <c r="O307" s="30"/>
      <c r="P307" s="30"/>
      <c r="Q307" s="30"/>
      <c r="R307" s="30"/>
      <c r="S307" s="30"/>
    </row>
    <row r="308" spans="2:19" ht="15" customHeight="1" x14ac:dyDescent="0.2">
      <c r="B308" s="30"/>
      <c r="C308" s="31"/>
      <c r="D308" s="30"/>
      <c r="E308" s="32"/>
      <c r="F308" s="30"/>
      <c r="G308" s="30"/>
      <c r="H308" s="30"/>
      <c r="I308" s="30"/>
      <c r="J308" s="7" t="s">
        <v>198</v>
      </c>
      <c r="K308" s="8">
        <f>L308/K305</f>
        <v>0</v>
      </c>
      <c r="L308" s="8">
        <f>F40</f>
        <v>0</v>
      </c>
      <c r="M308" s="8"/>
      <c r="N308" s="29">
        <f>N305*K308</f>
        <v>0</v>
      </c>
      <c r="P308" s="30"/>
      <c r="Q308" s="30"/>
      <c r="R308" s="30"/>
      <c r="S308" s="30"/>
    </row>
    <row r="309" spans="2:19" ht="15" customHeight="1" x14ac:dyDescent="0.2">
      <c r="B309" s="30"/>
      <c r="C309" s="31"/>
      <c r="D309" s="30"/>
      <c r="E309" s="32"/>
      <c r="F309" s="30"/>
      <c r="G309" s="30"/>
      <c r="H309" s="30"/>
      <c r="I309" s="30"/>
      <c r="J309" s="30"/>
      <c r="K309" s="30"/>
      <c r="L309" s="30"/>
      <c r="M309" s="30"/>
      <c r="O309" s="42">
        <f>SUM(N307:N308)</f>
        <v>0</v>
      </c>
      <c r="P309" s="30"/>
      <c r="Q309" s="30"/>
      <c r="R309" s="30"/>
      <c r="S309" s="30"/>
    </row>
    <row r="310" spans="2:19" ht="15" customHeight="1" x14ac:dyDescent="0.2">
      <c r="B310" s="30"/>
      <c r="C310" s="31"/>
      <c r="D310" s="30"/>
      <c r="E310" s="32"/>
      <c r="F310" s="30"/>
      <c r="G310" s="30"/>
      <c r="H310" s="30"/>
      <c r="I310" s="30"/>
      <c r="J310" s="90" t="s">
        <v>1050</v>
      </c>
      <c r="K310" s="30"/>
      <c r="L310" s="30"/>
      <c r="M310" s="30"/>
      <c r="N310" s="30"/>
      <c r="O310" s="30"/>
      <c r="P310" s="30"/>
      <c r="Q310" s="30"/>
      <c r="R310" s="30"/>
      <c r="S310" s="30"/>
    </row>
    <row r="311" spans="2:19" ht="15" customHeight="1" x14ac:dyDescent="0.2">
      <c r="B311" s="30"/>
      <c r="C311" s="31"/>
      <c r="D311" s="30"/>
      <c r="E311" s="32"/>
      <c r="F311" s="30"/>
      <c r="G311" s="30"/>
      <c r="H311" s="30"/>
      <c r="I311" s="30"/>
      <c r="J311" s="7" t="s">
        <v>1050</v>
      </c>
      <c r="K311" s="7">
        <v>20</v>
      </c>
      <c r="L311" s="7">
        <v>700</v>
      </c>
      <c r="M311" s="29">
        <v>1.94</v>
      </c>
      <c r="N311" s="29">
        <f>(M311*K311)/L311</f>
        <v>5.5428571428571424E-2</v>
      </c>
      <c r="O311" s="30"/>
      <c r="P311" s="30"/>
      <c r="Q311" s="30"/>
      <c r="R311" s="30"/>
      <c r="S311" s="30"/>
    </row>
    <row r="312" spans="2:19" ht="15" customHeight="1" x14ac:dyDescent="0.2">
      <c r="B312" s="30"/>
      <c r="C312" s="31"/>
      <c r="D312" s="30"/>
      <c r="E312" s="32"/>
      <c r="F312" s="30"/>
      <c r="G312" s="30"/>
      <c r="H312" s="30"/>
      <c r="I312" s="30"/>
      <c r="J312" s="8" t="s">
        <v>54</v>
      </c>
      <c r="K312" s="7">
        <f>SUM(K311)</f>
        <v>20</v>
      </c>
      <c r="L312" s="7"/>
      <c r="M312" s="44"/>
      <c r="N312" s="29">
        <f>SUM(N311:N311)</f>
        <v>5.5428571428571424E-2</v>
      </c>
      <c r="O312" s="30"/>
      <c r="P312" s="30"/>
      <c r="Q312" s="30"/>
      <c r="R312" s="30"/>
      <c r="S312" s="30"/>
    </row>
    <row r="313" spans="2:19" ht="15" customHeight="1" x14ac:dyDescent="0.2">
      <c r="B313" s="30"/>
      <c r="C313" s="31"/>
      <c r="D313" s="30"/>
      <c r="E313" s="32"/>
      <c r="F313" s="30"/>
      <c r="G313" s="30"/>
      <c r="H313" s="30"/>
      <c r="I313" s="30"/>
      <c r="J313" s="8" t="s">
        <v>52</v>
      </c>
      <c r="K313" s="51">
        <f>L313/K312</f>
        <v>35</v>
      </c>
      <c r="L313" s="8">
        <v>700</v>
      </c>
      <c r="M313" s="29"/>
      <c r="N313" s="29">
        <f>N312*K313</f>
        <v>1.94</v>
      </c>
      <c r="O313" s="30"/>
      <c r="P313" s="30"/>
      <c r="Q313" s="30"/>
      <c r="R313" s="30"/>
      <c r="S313" s="30"/>
    </row>
    <row r="314" spans="2:19" ht="15" customHeight="1" x14ac:dyDescent="0.2">
      <c r="B314" s="30"/>
      <c r="C314" s="31"/>
      <c r="D314" s="30"/>
      <c r="E314" s="32"/>
      <c r="F314" s="30"/>
      <c r="G314" s="30"/>
      <c r="H314" s="30"/>
      <c r="I314" s="30"/>
      <c r="J314" s="8" t="s">
        <v>53</v>
      </c>
      <c r="K314" s="8"/>
      <c r="L314" s="8">
        <v>700</v>
      </c>
      <c r="M314" s="8"/>
      <c r="N314" s="29">
        <f>N313*K314</f>
        <v>0</v>
      </c>
      <c r="O314" s="30"/>
      <c r="P314" s="30"/>
      <c r="Q314" s="30"/>
      <c r="R314" s="30"/>
      <c r="S314" s="30"/>
    </row>
    <row r="315" spans="2:19" ht="15" customHeight="1" x14ac:dyDescent="0.2">
      <c r="B315" s="30"/>
      <c r="C315" s="31"/>
      <c r="D315" s="30"/>
      <c r="E315" s="32"/>
      <c r="F315" s="30"/>
      <c r="G315" s="30"/>
      <c r="H315" s="30"/>
      <c r="I315" s="30"/>
      <c r="J315" s="8" t="s">
        <v>750</v>
      </c>
      <c r="K315" s="8">
        <f>L315/K312</f>
        <v>0</v>
      </c>
      <c r="L315" s="8">
        <f>F42</f>
        <v>0</v>
      </c>
      <c r="M315" s="8"/>
      <c r="N315" s="29">
        <f>N312*K315</f>
        <v>0</v>
      </c>
      <c r="O315" s="30"/>
      <c r="P315" s="30"/>
      <c r="Q315" s="30"/>
      <c r="R315" s="30"/>
      <c r="S315" s="30"/>
    </row>
    <row r="316" spans="2:19" ht="15" customHeight="1" x14ac:dyDescent="0.2">
      <c r="B316" s="30"/>
      <c r="C316" s="31"/>
      <c r="D316" s="30"/>
      <c r="E316" s="32"/>
      <c r="F316" s="30"/>
      <c r="G316" s="30"/>
      <c r="H316" s="30"/>
      <c r="I316" s="30"/>
      <c r="J316" s="30"/>
      <c r="K316" s="30"/>
      <c r="L316" s="30"/>
      <c r="M316" s="30"/>
      <c r="O316" s="42">
        <f>SUM(N314:N315)</f>
        <v>0</v>
      </c>
      <c r="P316" s="30"/>
      <c r="Q316" s="30"/>
      <c r="R316" s="30"/>
      <c r="S316" s="30"/>
    </row>
    <row r="317" spans="2:19" ht="15" customHeight="1" x14ac:dyDescent="0.2">
      <c r="B317" s="30"/>
      <c r="C317" s="31"/>
      <c r="D317" s="30"/>
      <c r="E317" s="32"/>
      <c r="F317" s="30"/>
      <c r="G317" s="30"/>
      <c r="H317" s="30"/>
      <c r="I317" s="30"/>
      <c r="J317" s="90" t="s">
        <v>1091</v>
      </c>
      <c r="K317" s="30"/>
      <c r="L317" s="30"/>
      <c r="M317" s="30"/>
      <c r="N317" s="30"/>
      <c r="O317" s="30"/>
      <c r="P317" s="30"/>
      <c r="Q317" s="30"/>
      <c r="R317" s="30"/>
      <c r="S317" s="30"/>
    </row>
    <row r="318" spans="2:19" ht="15" customHeight="1" x14ac:dyDescent="0.2">
      <c r="B318" s="30"/>
      <c r="C318" s="31"/>
      <c r="D318" s="30"/>
      <c r="E318" s="32"/>
      <c r="F318" s="30"/>
      <c r="G318" s="30"/>
      <c r="H318" s="30"/>
      <c r="I318" s="30"/>
      <c r="J318" s="7" t="s">
        <v>1092</v>
      </c>
      <c r="K318" s="8">
        <v>10.8</v>
      </c>
      <c r="L318" s="8">
        <v>700</v>
      </c>
      <c r="M318" s="29">
        <v>12.8</v>
      </c>
      <c r="N318" s="29">
        <f>(M318*K318)/L318</f>
        <v>0.19748571428571429</v>
      </c>
      <c r="P318" s="30"/>
      <c r="Q318" s="30"/>
      <c r="R318" s="30"/>
      <c r="S318" s="30"/>
    </row>
    <row r="319" spans="2:19" ht="15" customHeight="1" x14ac:dyDescent="0.2">
      <c r="B319" s="30"/>
      <c r="C319" s="31"/>
      <c r="D319" s="30"/>
      <c r="E319" s="32"/>
      <c r="F319" s="30"/>
      <c r="G319" s="30"/>
      <c r="H319" s="30"/>
      <c r="I319" s="30"/>
      <c r="J319" s="7" t="s">
        <v>799</v>
      </c>
      <c r="K319" s="8">
        <v>10.8</v>
      </c>
      <c r="L319" s="8">
        <v>700</v>
      </c>
      <c r="M319" s="29">
        <v>19</v>
      </c>
      <c r="N319" s="29">
        <f t="shared" ref="N319:N322" si="21">(M319*K319)/L319</f>
        <v>0.29314285714285715</v>
      </c>
      <c r="O319" s="30"/>
      <c r="P319" s="30"/>
      <c r="Q319" s="30"/>
      <c r="R319" s="30"/>
      <c r="S319" s="30"/>
    </row>
    <row r="320" spans="2:19" ht="15" customHeight="1" x14ac:dyDescent="0.2">
      <c r="B320" s="30"/>
      <c r="C320" s="31"/>
      <c r="D320" s="30"/>
      <c r="E320" s="32"/>
      <c r="F320" s="30"/>
      <c r="G320" s="30"/>
      <c r="H320" s="30"/>
      <c r="I320" s="30"/>
      <c r="J320" s="7" t="s">
        <v>1093</v>
      </c>
      <c r="K320" s="8">
        <v>21.6</v>
      </c>
      <c r="L320" s="8">
        <v>1000</v>
      </c>
      <c r="M320" s="29">
        <v>2.62</v>
      </c>
      <c r="N320" s="29">
        <f t="shared" si="21"/>
        <v>5.6592000000000003E-2</v>
      </c>
      <c r="O320" s="30"/>
      <c r="P320" s="30"/>
      <c r="Q320" s="30"/>
      <c r="R320" s="30"/>
      <c r="S320" s="30"/>
    </row>
    <row r="321" spans="2:19" ht="15" customHeight="1" x14ac:dyDescent="0.2">
      <c r="B321" s="30"/>
      <c r="C321" s="31"/>
      <c r="D321" s="30"/>
      <c r="E321" s="32"/>
      <c r="F321" s="30"/>
      <c r="G321" s="30"/>
      <c r="H321" s="30"/>
      <c r="I321" s="30"/>
      <c r="J321" s="7" t="s">
        <v>1094</v>
      </c>
      <c r="K321" s="8">
        <v>8.1</v>
      </c>
      <c r="L321" s="8">
        <v>1000</v>
      </c>
      <c r="M321" s="29">
        <v>40.700000000000003</v>
      </c>
      <c r="N321" s="29">
        <f t="shared" si="21"/>
        <v>0.32967000000000002</v>
      </c>
      <c r="O321" s="30"/>
      <c r="P321" s="30"/>
      <c r="Q321" s="30"/>
      <c r="R321" s="30"/>
      <c r="S321" s="30"/>
    </row>
    <row r="322" spans="2:19" ht="15" customHeight="1" x14ac:dyDescent="0.2">
      <c r="B322" s="30"/>
      <c r="C322" s="31"/>
      <c r="D322" s="30"/>
      <c r="E322" s="32"/>
      <c r="F322" s="30"/>
      <c r="G322" s="30"/>
      <c r="H322" s="30"/>
      <c r="I322" s="30"/>
      <c r="J322" s="7" t="s">
        <v>588</v>
      </c>
      <c r="K322" s="8">
        <v>46.8</v>
      </c>
      <c r="L322" s="8">
        <v>1000</v>
      </c>
      <c r="M322" s="29">
        <v>0</v>
      </c>
      <c r="N322" s="29">
        <f t="shared" si="21"/>
        <v>0</v>
      </c>
      <c r="O322" s="30"/>
      <c r="P322" s="30"/>
      <c r="Q322" s="30"/>
      <c r="R322" s="30"/>
      <c r="S322" s="30"/>
    </row>
    <row r="323" spans="2:19" ht="15" customHeight="1" x14ac:dyDescent="0.2">
      <c r="B323" s="30"/>
      <c r="C323" s="31"/>
      <c r="D323" s="30"/>
      <c r="E323" s="32"/>
      <c r="F323" s="30"/>
      <c r="G323" s="30"/>
      <c r="H323" s="30"/>
      <c r="I323" s="30"/>
      <c r="J323" s="7" t="s">
        <v>48</v>
      </c>
      <c r="K323" s="8">
        <f>SUM(K318:K322)</f>
        <v>98.1</v>
      </c>
      <c r="L323" s="8"/>
      <c r="M323" s="8"/>
      <c r="N323" s="29">
        <f>SUM(N318:N322)</f>
        <v>0.87689057142857141</v>
      </c>
      <c r="O323" s="30"/>
      <c r="P323" s="30"/>
      <c r="Q323" s="30"/>
      <c r="R323" s="30"/>
      <c r="S323" s="30"/>
    </row>
    <row r="324" spans="2:19" ht="15" customHeight="1" x14ac:dyDescent="0.2">
      <c r="B324" s="30"/>
      <c r="C324" s="31"/>
      <c r="D324" s="30"/>
      <c r="E324" s="32"/>
      <c r="F324" s="30"/>
      <c r="G324" s="30"/>
      <c r="H324" s="30"/>
      <c r="I324" s="30"/>
      <c r="J324" s="8" t="s">
        <v>52</v>
      </c>
      <c r="K324" s="8">
        <f>L324/K323</f>
        <v>7.1355759429153931</v>
      </c>
      <c r="L324" s="8">
        <v>700</v>
      </c>
      <c r="M324" s="8"/>
      <c r="N324" s="29">
        <f>N323*K324</f>
        <v>6.2571192660550459</v>
      </c>
      <c r="P324" s="30"/>
      <c r="Q324" s="30"/>
      <c r="R324" s="30"/>
      <c r="S324" s="30"/>
    </row>
    <row r="325" spans="2:19" ht="15" customHeight="1" x14ac:dyDescent="0.2">
      <c r="B325" s="30"/>
      <c r="C325" s="31"/>
      <c r="D325" s="30"/>
      <c r="E325" s="32"/>
      <c r="F325" s="30"/>
      <c r="G325" s="30"/>
      <c r="H325" s="30"/>
      <c r="I325" s="30"/>
      <c r="J325" s="7" t="s">
        <v>53</v>
      </c>
      <c r="K325" s="8">
        <f>C43</f>
        <v>0</v>
      </c>
      <c r="L325" s="8">
        <v>700</v>
      </c>
      <c r="M325" s="8"/>
      <c r="N325" s="29">
        <f>N323*K325</f>
        <v>0</v>
      </c>
      <c r="O325" s="30"/>
      <c r="P325" s="30"/>
      <c r="Q325" s="30"/>
      <c r="R325" s="30"/>
      <c r="S325" s="30"/>
    </row>
    <row r="326" spans="2:19" ht="15" customHeight="1" x14ac:dyDescent="0.2">
      <c r="B326" s="30"/>
      <c r="C326" s="31"/>
      <c r="D326" s="30"/>
      <c r="E326" s="32"/>
      <c r="F326" s="30"/>
      <c r="G326" s="30"/>
      <c r="H326" s="30"/>
      <c r="I326" s="30"/>
      <c r="J326" s="7" t="s">
        <v>198</v>
      </c>
      <c r="K326" s="8">
        <f>L326/K323</f>
        <v>0</v>
      </c>
      <c r="L326" s="8">
        <f>F43</f>
        <v>0</v>
      </c>
      <c r="M326" s="8"/>
      <c r="N326" s="29">
        <f>N323*K326</f>
        <v>0</v>
      </c>
      <c r="O326" s="30"/>
      <c r="P326" s="30"/>
      <c r="Q326" s="30"/>
      <c r="R326" s="30"/>
      <c r="S326" s="30"/>
    </row>
    <row r="327" spans="2:19" ht="15" customHeight="1" x14ac:dyDescent="0.2">
      <c r="B327" s="30"/>
      <c r="C327" s="31"/>
      <c r="D327" s="30"/>
      <c r="E327" s="32"/>
      <c r="F327" s="30"/>
      <c r="G327" s="30"/>
      <c r="H327" s="30"/>
      <c r="I327" s="30"/>
      <c r="J327" s="30"/>
      <c r="K327" s="30"/>
      <c r="L327" s="30"/>
      <c r="M327" s="30"/>
      <c r="O327" s="42">
        <f>SUM(N325:N326)</f>
        <v>0</v>
      </c>
      <c r="P327" s="30"/>
      <c r="Q327" s="30"/>
      <c r="R327" s="30"/>
      <c r="S327" s="30"/>
    </row>
    <row r="328" spans="2:19" ht="15" customHeight="1" x14ac:dyDescent="0.2">
      <c r="B328" s="30"/>
      <c r="C328" s="31"/>
      <c r="D328" s="30"/>
      <c r="E328" s="32"/>
      <c r="F328" s="30"/>
      <c r="G328" s="30"/>
      <c r="H328" s="30"/>
      <c r="I328" s="30"/>
      <c r="J328" s="94" t="s">
        <v>1048</v>
      </c>
      <c r="K328" s="30"/>
      <c r="L328" s="30"/>
      <c r="M328" s="30"/>
      <c r="N328" s="30"/>
      <c r="O328" s="30"/>
      <c r="P328" s="30"/>
      <c r="Q328" s="30"/>
      <c r="R328" s="30"/>
      <c r="S328" s="30"/>
    </row>
    <row r="329" spans="2:19" ht="15" customHeight="1" x14ac:dyDescent="0.2">
      <c r="B329" s="30"/>
      <c r="C329" s="31"/>
      <c r="D329" s="30"/>
      <c r="E329" s="32"/>
      <c r="F329" s="30"/>
      <c r="G329" s="30"/>
      <c r="H329" s="30"/>
      <c r="I329" s="30"/>
      <c r="J329" s="7" t="s">
        <v>48</v>
      </c>
      <c r="K329" s="8">
        <v>50</v>
      </c>
      <c r="L329" s="8">
        <v>500</v>
      </c>
      <c r="M329" s="29">
        <v>12.54</v>
      </c>
      <c r="N329" s="29">
        <f>(M329*K329)/L329</f>
        <v>1.254</v>
      </c>
      <c r="O329" s="30"/>
      <c r="P329" s="30"/>
      <c r="Q329" s="30"/>
      <c r="R329" s="30"/>
      <c r="S329" s="30"/>
    </row>
    <row r="330" spans="2:19" ht="15" customHeight="1" x14ac:dyDescent="0.2">
      <c r="B330" s="30"/>
      <c r="C330" s="31"/>
      <c r="D330" s="30"/>
      <c r="E330" s="32"/>
      <c r="F330" s="30"/>
      <c r="G330" s="30"/>
      <c r="H330" s="30"/>
      <c r="I330" s="30"/>
      <c r="J330" s="8" t="s">
        <v>52</v>
      </c>
      <c r="K330" s="8">
        <f>L330/K329</f>
        <v>14</v>
      </c>
      <c r="L330" s="8">
        <v>700</v>
      </c>
      <c r="M330" s="8"/>
      <c r="N330" s="29">
        <f>N329*K330</f>
        <v>17.556000000000001</v>
      </c>
      <c r="O330" s="30"/>
      <c r="P330" s="30"/>
      <c r="Q330" s="30"/>
      <c r="R330" s="30"/>
      <c r="S330" s="30"/>
    </row>
    <row r="331" spans="2:19" ht="15" customHeight="1" x14ac:dyDescent="0.2">
      <c r="B331" s="30"/>
      <c r="C331" s="31"/>
      <c r="D331" s="30"/>
      <c r="E331" s="32"/>
      <c r="F331" s="30"/>
      <c r="G331" s="30"/>
      <c r="H331" s="30"/>
      <c r="I331" s="30"/>
      <c r="J331" s="7" t="s">
        <v>53</v>
      </c>
      <c r="K331" s="8"/>
      <c r="L331" s="8">
        <v>700</v>
      </c>
      <c r="M331" s="8"/>
      <c r="N331" s="29">
        <f>N329*K331</f>
        <v>0</v>
      </c>
      <c r="O331" s="30"/>
      <c r="P331" s="30"/>
      <c r="Q331" s="30"/>
      <c r="R331" s="30"/>
      <c r="S331" s="30"/>
    </row>
    <row r="332" spans="2:19" ht="15" customHeight="1" x14ac:dyDescent="0.2">
      <c r="B332" s="30"/>
      <c r="C332" s="31"/>
      <c r="D332" s="30"/>
      <c r="E332" s="32"/>
      <c r="F332" s="30"/>
      <c r="I332" s="30"/>
      <c r="J332" s="7" t="s">
        <v>713</v>
      </c>
      <c r="K332" s="8">
        <f>L332/K329</f>
        <v>0</v>
      </c>
      <c r="L332" s="8">
        <f>F50</f>
        <v>0</v>
      </c>
      <c r="M332" s="8"/>
      <c r="N332" s="29">
        <f>N329*K332</f>
        <v>0</v>
      </c>
      <c r="P332" s="30"/>
      <c r="Q332" s="30"/>
      <c r="R332" s="30"/>
      <c r="S332" s="30"/>
    </row>
    <row r="333" spans="2:19" ht="15" customHeight="1" x14ac:dyDescent="0.2">
      <c r="B333" s="30"/>
      <c r="C333" s="31"/>
      <c r="D333" s="30"/>
      <c r="E333" s="32"/>
      <c r="F333" s="30"/>
      <c r="I333" s="30"/>
      <c r="J333" s="30"/>
      <c r="K333" s="30"/>
      <c r="L333" s="30"/>
      <c r="M333" s="30"/>
      <c r="O333" s="42">
        <f>SUM(N331:N332)</f>
        <v>0</v>
      </c>
      <c r="P333" s="30"/>
      <c r="Q333" s="30"/>
      <c r="R333" s="30"/>
      <c r="S333" s="30"/>
    </row>
    <row r="334" spans="2:19" ht="15" customHeight="1" x14ac:dyDescent="0.2">
      <c r="B334" s="30"/>
      <c r="C334" s="31"/>
      <c r="D334" s="30"/>
      <c r="E334" s="32"/>
      <c r="F334" s="30"/>
      <c r="I334" s="30"/>
      <c r="J334" s="90" t="s">
        <v>1096</v>
      </c>
      <c r="K334" s="30"/>
      <c r="L334" s="30"/>
      <c r="M334" s="30"/>
      <c r="N334" s="30"/>
      <c r="O334" s="30"/>
      <c r="P334" s="30"/>
      <c r="Q334" s="30"/>
      <c r="R334" s="30"/>
      <c r="S334" s="30"/>
    </row>
    <row r="335" spans="2:19" ht="15" customHeight="1" x14ac:dyDescent="0.2">
      <c r="B335" s="30"/>
      <c r="C335" s="31"/>
      <c r="D335" s="30"/>
      <c r="E335" s="32"/>
      <c r="F335" s="30"/>
      <c r="I335" s="30"/>
      <c r="J335" s="7" t="s">
        <v>1097</v>
      </c>
      <c r="K335" s="8">
        <v>45</v>
      </c>
      <c r="L335" s="8">
        <v>700</v>
      </c>
      <c r="M335" s="29">
        <v>28.74</v>
      </c>
      <c r="N335" s="29">
        <f t="shared" ref="N335:N338" si="22">(M335*K335)/L335</f>
        <v>1.8475714285714284</v>
      </c>
      <c r="O335" s="30"/>
      <c r="P335" s="30"/>
      <c r="Q335" s="30"/>
      <c r="R335" s="30"/>
      <c r="S335" s="30"/>
    </row>
    <row r="336" spans="2:19" ht="15" customHeight="1" x14ac:dyDescent="0.2">
      <c r="B336" s="30"/>
      <c r="C336" s="31"/>
      <c r="D336" s="30"/>
      <c r="E336" s="32"/>
      <c r="F336" s="30"/>
      <c r="I336" s="30"/>
      <c r="J336" s="7" t="s">
        <v>1098</v>
      </c>
      <c r="K336" s="8">
        <v>50</v>
      </c>
      <c r="L336" s="8">
        <v>700</v>
      </c>
      <c r="M336" s="29">
        <v>17.5</v>
      </c>
      <c r="N336" s="29">
        <f t="shared" si="22"/>
        <v>1.25</v>
      </c>
      <c r="O336" s="30"/>
      <c r="P336" s="30"/>
      <c r="Q336" s="30"/>
      <c r="R336" s="30"/>
      <c r="S336" s="30"/>
    </row>
    <row r="337" spans="2:19" ht="15" customHeight="1" x14ac:dyDescent="0.2">
      <c r="B337" s="30"/>
      <c r="C337" s="31"/>
      <c r="D337" s="30"/>
      <c r="E337" s="32"/>
      <c r="F337" s="30"/>
      <c r="I337" s="30"/>
      <c r="J337" s="7" t="s">
        <v>1099</v>
      </c>
      <c r="K337" s="8">
        <v>15</v>
      </c>
      <c r="L337" s="8">
        <v>700</v>
      </c>
      <c r="M337" s="29">
        <v>12.64</v>
      </c>
      <c r="N337" s="29">
        <f t="shared" si="22"/>
        <v>0.27085714285714291</v>
      </c>
      <c r="O337" s="30"/>
      <c r="P337" s="30"/>
      <c r="Q337" s="30"/>
      <c r="R337" s="30"/>
      <c r="S337" s="30"/>
    </row>
    <row r="338" spans="2:19" ht="15" customHeight="1" x14ac:dyDescent="0.2">
      <c r="B338" s="30"/>
      <c r="C338" s="31"/>
      <c r="D338" s="30"/>
      <c r="E338" s="32"/>
      <c r="F338" s="30"/>
      <c r="I338" s="30"/>
      <c r="J338" s="7" t="s">
        <v>683</v>
      </c>
      <c r="K338" s="8">
        <v>0.3</v>
      </c>
      <c r="L338" s="8">
        <v>200</v>
      </c>
      <c r="M338" s="29">
        <v>10.48</v>
      </c>
      <c r="N338" s="29">
        <f t="shared" si="22"/>
        <v>1.5720000000000001E-2</v>
      </c>
      <c r="O338" s="30"/>
      <c r="P338" s="30"/>
      <c r="Q338" s="30"/>
      <c r="R338" s="30"/>
      <c r="S338" s="30"/>
    </row>
    <row r="339" spans="2:19" ht="15" customHeight="1" x14ac:dyDescent="0.2">
      <c r="B339" s="30"/>
      <c r="C339" s="31"/>
      <c r="D339" s="30"/>
      <c r="E339" s="32"/>
      <c r="F339" s="30"/>
      <c r="I339" s="30"/>
      <c r="J339" s="7" t="s">
        <v>48</v>
      </c>
      <c r="K339" s="8">
        <f>SUM(K335:K338)</f>
        <v>110.3</v>
      </c>
      <c r="L339" s="8"/>
      <c r="M339" s="8"/>
      <c r="N339" s="29">
        <f>SUM(N335:N338)</f>
        <v>3.3841485714285713</v>
      </c>
      <c r="O339" s="30"/>
      <c r="P339" s="30"/>
      <c r="Q339" s="30"/>
      <c r="R339" s="30"/>
      <c r="S339" s="30"/>
    </row>
    <row r="340" spans="2:19" ht="15" customHeight="1" x14ac:dyDescent="0.2">
      <c r="B340" s="30"/>
      <c r="C340" s="31"/>
      <c r="D340" s="30"/>
      <c r="E340" s="32"/>
      <c r="F340" s="30"/>
      <c r="J340" s="8" t="s">
        <v>52</v>
      </c>
      <c r="K340" s="8">
        <f>L340/K339</f>
        <v>6.3463281958295559</v>
      </c>
      <c r="L340" s="8">
        <v>700</v>
      </c>
      <c r="M340" s="8"/>
      <c r="N340" s="29">
        <f>N339*K340</f>
        <v>21.476917497733453</v>
      </c>
    </row>
    <row r="341" spans="2:19" ht="15" customHeight="1" x14ac:dyDescent="0.2">
      <c r="B341" s="30"/>
      <c r="C341" s="31"/>
      <c r="D341" s="30"/>
      <c r="E341" s="32"/>
      <c r="F341" s="30"/>
      <c r="J341" s="7" t="s">
        <v>53</v>
      </c>
      <c r="K341" s="8">
        <f>C45</f>
        <v>0</v>
      </c>
      <c r="L341" s="8">
        <v>700</v>
      </c>
      <c r="M341" s="8"/>
      <c r="N341" s="29">
        <f>N339*K341</f>
        <v>0</v>
      </c>
    </row>
    <row r="342" spans="2:19" ht="15" customHeight="1" x14ac:dyDescent="0.2">
      <c r="B342" s="30"/>
      <c r="C342" s="31"/>
      <c r="D342" s="30"/>
      <c r="E342" s="32"/>
      <c r="F342" s="30"/>
      <c r="J342" s="7" t="s">
        <v>198</v>
      </c>
      <c r="K342" s="8">
        <f>L342/K339</f>
        <v>0</v>
      </c>
      <c r="L342" s="8">
        <f>F45</f>
        <v>0</v>
      </c>
      <c r="M342" s="8"/>
      <c r="N342" s="29">
        <f>N339*K342</f>
        <v>0</v>
      </c>
    </row>
    <row r="343" spans="2:19" ht="15" customHeight="1" x14ac:dyDescent="0.2">
      <c r="B343" s="30"/>
      <c r="C343" s="31"/>
      <c r="D343" s="30"/>
      <c r="E343" s="32"/>
      <c r="F343" s="30"/>
      <c r="J343" s="30"/>
      <c r="K343" s="30"/>
      <c r="L343" s="30"/>
      <c r="M343" s="30"/>
      <c r="O343" s="42">
        <f>SUM(N341:N342)</f>
        <v>0</v>
      </c>
    </row>
    <row r="344" spans="2:19" ht="15" customHeight="1" x14ac:dyDescent="0.2">
      <c r="B344" s="30"/>
      <c r="C344" s="31"/>
      <c r="D344" s="30"/>
      <c r="E344" s="32"/>
      <c r="F344" s="30"/>
      <c r="J344" s="90" t="s">
        <v>1101</v>
      </c>
      <c r="K344" s="30"/>
      <c r="L344" s="30"/>
      <c r="M344" s="30"/>
      <c r="N344" s="30"/>
    </row>
    <row r="345" spans="2:19" ht="15" customHeight="1" x14ac:dyDescent="0.2">
      <c r="B345" s="30"/>
      <c r="C345" s="31"/>
      <c r="D345" s="30"/>
      <c r="E345" s="32"/>
      <c r="F345" s="30"/>
      <c r="J345" s="7" t="s">
        <v>1101</v>
      </c>
      <c r="K345" s="8">
        <v>70</v>
      </c>
      <c r="L345" s="8">
        <v>500</v>
      </c>
      <c r="M345" s="29">
        <v>4.4000000000000004</v>
      </c>
      <c r="N345" s="29">
        <f t="shared" ref="N345" si="23">(M345*K345)/L345</f>
        <v>0.61599999999999999</v>
      </c>
    </row>
    <row r="346" spans="2:19" ht="15" customHeight="1" x14ac:dyDescent="0.2">
      <c r="B346" s="30"/>
      <c r="C346" s="31"/>
      <c r="D346" s="30"/>
      <c r="E346" s="32"/>
      <c r="F346" s="30"/>
      <c r="J346" s="7" t="s">
        <v>48</v>
      </c>
      <c r="K346" s="8">
        <f>SUM(K345:K345)</f>
        <v>70</v>
      </c>
      <c r="L346" s="8"/>
      <c r="M346" s="8"/>
      <c r="N346" s="29">
        <f>SUM(N345:N345)</f>
        <v>0.61599999999999999</v>
      </c>
    </row>
    <row r="347" spans="2:19" ht="15" customHeight="1" x14ac:dyDescent="0.2">
      <c r="B347" s="30"/>
      <c r="C347" s="31"/>
      <c r="D347" s="30"/>
      <c r="E347" s="32"/>
      <c r="F347" s="30"/>
      <c r="J347" s="8" t="s">
        <v>52</v>
      </c>
      <c r="K347" s="8">
        <f>L347/K346</f>
        <v>10</v>
      </c>
      <c r="L347" s="8">
        <v>700</v>
      </c>
      <c r="M347" s="8"/>
      <c r="N347" s="29">
        <f>N346*K347</f>
        <v>6.16</v>
      </c>
    </row>
    <row r="348" spans="2:19" ht="15" customHeight="1" x14ac:dyDescent="0.2">
      <c r="B348" s="30"/>
      <c r="C348" s="31"/>
      <c r="D348" s="30"/>
      <c r="E348" s="32"/>
      <c r="F348" s="30"/>
      <c r="J348" s="7" t="s">
        <v>53</v>
      </c>
      <c r="K348" s="8">
        <f>C87</f>
        <v>0</v>
      </c>
      <c r="L348" s="8">
        <v>700</v>
      </c>
      <c r="M348" s="8"/>
      <c r="N348" s="29">
        <f>N346*K348</f>
        <v>0</v>
      </c>
    </row>
    <row r="349" spans="2:19" ht="15" customHeight="1" x14ac:dyDescent="0.2">
      <c r="B349" s="30"/>
      <c r="C349" s="31"/>
      <c r="D349" s="30"/>
      <c r="E349" s="32"/>
      <c r="F349" s="30"/>
      <c r="J349" s="7" t="s">
        <v>116</v>
      </c>
      <c r="K349" s="8">
        <f>L349/K346</f>
        <v>0</v>
      </c>
      <c r="L349" s="8">
        <f>F87</f>
        <v>0</v>
      </c>
      <c r="M349" s="8"/>
      <c r="N349" s="29">
        <f>N346*K349</f>
        <v>0</v>
      </c>
    </row>
    <row r="350" spans="2:19" ht="15" customHeight="1" x14ac:dyDescent="0.2">
      <c r="B350" s="30"/>
      <c r="C350" s="31"/>
      <c r="D350" s="30"/>
      <c r="E350" s="32"/>
      <c r="F350" s="30"/>
      <c r="J350" s="30"/>
      <c r="K350" s="30"/>
      <c r="L350" s="30"/>
      <c r="M350" s="30"/>
      <c r="O350" s="42">
        <f>SUM(N348:N349)</f>
        <v>0</v>
      </c>
    </row>
    <row r="351" spans="2:19" ht="15" customHeight="1" x14ac:dyDescent="0.2">
      <c r="B351" s="30"/>
      <c r="C351" s="31"/>
      <c r="D351" s="30"/>
      <c r="E351" s="32"/>
      <c r="F351" s="30"/>
      <c r="J351" s="90" t="s">
        <v>1102</v>
      </c>
      <c r="K351" s="30"/>
      <c r="L351" s="30"/>
      <c r="M351" s="30"/>
      <c r="N351" s="30"/>
    </row>
    <row r="352" spans="2:19" ht="15" customHeight="1" x14ac:dyDescent="0.2">
      <c r="B352" s="30"/>
      <c r="C352" s="31"/>
      <c r="D352" s="30"/>
      <c r="E352" s="32"/>
      <c r="F352" s="30"/>
      <c r="J352" s="7" t="s">
        <v>1103</v>
      </c>
      <c r="K352" s="8">
        <v>60</v>
      </c>
      <c r="L352" s="8">
        <v>1400</v>
      </c>
      <c r="M352" s="29">
        <v>48.31</v>
      </c>
      <c r="N352" s="29">
        <f>(M352*K352)/L352</f>
        <v>2.0704285714285717</v>
      </c>
    </row>
    <row r="353" spans="2:15" ht="15" customHeight="1" x14ac:dyDescent="0.2">
      <c r="B353" s="30"/>
      <c r="C353" s="31"/>
      <c r="D353" s="30"/>
      <c r="E353" s="32"/>
      <c r="F353" s="30"/>
      <c r="J353" s="7" t="s">
        <v>1104</v>
      </c>
      <c r="K353" s="8">
        <v>10</v>
      </c>
      <c r="L353" s="8">
        <v>1000</v>
      </c>
      <c r="M353" s="29">
        <v>4.7699999999999996</v>
      </c>
      <c r="N353" s="29">
        <f>(M353*K353)/L353</f>
        <v>4.7699999999999992E-2</v>
      </c>
    </row>
    <row r="354" spans="2:15" ht="15" customHeight="1" x14ac:dyDescent="0.2">
      <c r="B354" s="30"/>
      <c r="C354" s="31"/>
      <c r="D354" s="30"/>
      <c r="E354" s="32"/>
      <c r="F354" s="30"/>
      <c r="J354" s="7" t="s">
        <v>48</v>
      </c>
      <c r="K354" s="8">
        <f>SUM(K352:K353)</f>
        <v>70</v>
      </c>
      <c r="L354" s="8"/>
      <c r="M354" s="8"/>
      <c r="N354" s="29">
        <f>SUM(N352:N353)</f>
        <v>2.1181285714285716</v>
      </c>
    </row>
    <row r="355" spans="2:15" ht="15" customHeight="1" x14ac:dyDescent="0.2">
      <c r="B355" s="30"/>
      <c r="C355" s="31"/>
      <c r="D355" s="30"/>
      <c r="E355" s="32"/>
      <c r="F355" s="30"/>
      <c r="J355" s="8" t="s">
        <v>52</v>
      </c>
      <c r="K355" s="8">
        <f>L355/K354</f>
        <v>10</v>
      </c>
      <c r="L355" s="8">
        <v>700</v>
      </c>
      <c r="M355" s="8"/>
      <c r="N355" s="29">
        <f>N354*K355</f>
        <v>21.181285714285714</v>
      </c>
    </row>
    <row r="356" spans="2:15" ht="15" customHeight="1" x14ac:dyDescent="0.2">
      <c r="B356" s="30"/>
      <c r="C356" s="31"/>
      <c r="D356" s="30"/>
      <c r="E356" s="32"/>
      <c r="F356" s="30"/>
      <c r="J356" s="7" t="s">
        <v>53</v>
      </c>
      <c r="K356" s="8">
        <f>C46</f>
        <v>0</v>
      </c>
      <c r="L356" s="8">
        <v>700</v>
      </c>
      <c r="M356" s="8"/>
      <c r="N356" s="29">
        <f>N354*K356</f>
        <v>0</v>
      </c>
    </row>
    <row r="357" spans="2:15" ht="15" customHeight="1" x14ac:dyDescent="0.2">
      <c r="B357" s="30"/>
      <c r="C357" s="31"/>
      <c r="D357" s="30"/>
      <c r="F357" s="30"/>
      <c r="J357" s="7" t="s">
        <v>198</v>
      </c>
      <c r="K357" s="8">
        <f>L357/K355</f>
        <v>0</v>
      </c>
      <c r="L357" s="8">
        <f>F46</f>
        <v>0</v>
      </c>
      <c r="M357" s="8"/>
      <c r="N357" s="29">
        <f>N354*K357</f>
        <v>0</v>
      </c>
    </row>
    <row r="358" spans="2:15" ht="15" customHeight="1" x14ac:dyDescent="0.2">
      <c r="B358" s="30"/>
      <c r="J358" s="30"/>
      <c r="K358" s="30"/>
      <c r="L358" s="30"/>
      <c r="M358" s="30"/>
      <c r="O358" s="42">
        <f>SUM(N356:N357)</f>
        <v>0</v>
      </c>
    </row>
    <row r="359" spans="2:15" ht="15" customHeight="1" x14ac:dyDescent="0.2">
      <c r="J359" s="90" t="s">
        <v>1084</v>
      </c>
      <c r="K359" s="30"/>
      <c r="L359" s="30"/>
      <c r="M359" s="30"/>
      <c r="N359" s="30"/>
    </row>
    <row r="360" spans="2:15" ht="15" customHeight="1" x14ac:dyDescent="0.2">
      <c r="J360" s="7" t="s">
        <v>48</v>
      </c>
      <c r="K360" s="8">
        <v>30</v>
      </c>
      <c r="L360" s="8">
        <v>1400</v>
      </c>
      <c r="M360" s="8">
        <v>25.32</v>
      </c>
      <c r="N360" s="29">
        <f>K360*M360/L360</f>
        <v>0.54257142857142859</v>
      </c>
    </row>
    <row r="361" spans="2:15" ht="15" customHeight="1" x14ac:dyDescent="0.2">
      <c r="J361" s="8" t="s">
        <v>52</v>
      </c>
      <c r="K361" s="8">
        <f>L361/K360</f>
        <v>23.333333333333332</v>
      </c>
      <c r="L361" s="8">
        <v>700</v>
      </c>
      <c r="M361" s="8"/>
      <c r="N361" s="29">
        <f>N360*K361</f>
        <v>12.66</v>
      </c>
    </row>
    <row r="362" spans="2:15" ht="15" customHeight="1" x14ac:dyDescent="0.2">
      <c r="J362" s="7" t="s">
        <v>53</v>
      </c>
      <c r="K362" s="8">
        <f>C58</f>
        <v>0</v>
      </c>
      <c r="L362" s="8">
        <v>700</v>
      </c>
      <c r="M362" s="8"/>
      <c r="N362" s="29">
        <f>N360*K362</f>
        <v>0</v>
      </c>
    </row>
    <row r="363" spans="2:15" ht="15" customHeight="1" x14ac:dyDescent="0.2">
      <c r="J363" s="7" t="s">
        <v>822</v>
      </c>
      <c r="K363" s="8">
        <f>L363/K360</f>
        <v>0</v>
      </c>
      <c r="L363" s="8">
        <f>F58</f>
        <v>0</v>
      </c>
      <c r="M363" s="8"/>
      <c r="N363" s="29">
        <f>N360*K363</f>
        <v>0</v>
      </c>
    </row>
    <row r="364" spans="2:15" ht="15" customHeight="1" x14ac:dyDescent="0.2">
      <c r="J364" s="30"/>
      <c r="K364" s="30"/>
      <c r="L364" s="30"/>
      <c r="M364" s="30"/>
      <c r="O364" s="42">
        <f>SUM(N362:N363)</f>
        <v>0</v>
      </c>
    </row>
    <row r="365" spans="2:15" ht="15" customHeight="1" x14ac:dyDescent="0.2">
      <c r="J365" s="90" t="s">
        <v>582</v>
      </c>
      <c r="K365" s="30"/>
      <c r="L365" s="30"/>
      <c r="M365" s="30"/>
      <c r="N365" s="30"/>
    </row>
    <row r="366" spans="2:15" ht="15" customHeight="1" x14ac:dyDescent="0.2">
      <c r="J366" s="7" t="s">
        <v>752</v>
      </c>
      <c r="K366" s="8">
        <v>20</v>
      </c>
      <c r="L366" s="8">
        <v>700</v>
      </c>
      <c r="M366" s="29">
        <f>'Productos-precio'!D185</f>
        <v>12.2</v>
      </c>
      <c r="N366" s="29">
        <f>(M366*K366)/L366</f>
        <v>0.34857142857142859</v>
      </c>
    </row>
    <row r="367" spans="2:15" ht="15" customHeight="1" x14ac:dyDescent="0.2">
      <c r="J367" s="7" t="s">
        <v>753</v>
      </c>
      <c r="K367" s="8">
        <v>10</v>
      </c>
      <c r="L367" s="8">
        <v>1000</v>
      </c>
      <c r="M367" s="29">
        <f>'Productos-precio'!D123</f>
        <v>11.43</v>
      </c>
      <c r="N367" s="29">
        <f t="shared" ref="N367:N368" si="24">(M367*K367)/L367</f>
        <v>0.1143</v>
      </c>
    </row>
    <row r="368" spans="2:15" ht="15" customHeight="1" x14ac:dyDescent="0.2">
      <c r="J368" s="7" t="s">
        <v>754</v>
      </c>
      <c r="K368" s="8">
        <v>10</v>
      </c>
      <c r="L368" s="8">
        <v>1000</v>
      </c>
      <c r="M368" s="29">
        <f>Producciones!F121</f>
        <v>2.90279</v>
      </c>
      <c r="N368" s="29">
        <f t="shared" si="24"/>
        <v>2.9027899999999999E-2</v>
      </c>
    </row>
    <row r="369" spans="10:15" ht="15" customHeight="1" x14ac:dyDescent="0.2">
      <c r="J369" s="7" t="s">
        <v>48</v>
      </c>
      <c r="K369" s="8">
        <f>SUM(K366:K368)</f>
        <v>40</v>
      </c>
      <c r="L369" s="8"/>
      <c r="M369" s="8"/>
      <c r="N369" s="29">
        <f>SUM(N366:N368)</f>
        <v>0.4918993285714286</v>
      </c>
    </row>
    <row r="370" spans="10:15" ht="15" customHeight="1" x14ac:dyDescent="0.2">
      <c r="J370" s="8" t="s">
        <v>52</v>
      </c>
      <c r="K370" s="8">
        <f>L370/K369</f>
        <v>17.5</v>
      </c>
      <c r="L370" s="8">
        <v>700</v>
      </c>
      <c r="M370" s="8"/>
      <c r="N370" s="29">
        <f>N369*K370</f>
        <v>8.6082382500000012</v>
      </c>
    </row>
    <row r="371" spans="10:15" ht="15" customHeight="1" x14ac:dyDescent="0.2">
      <c r="J371" s="7" t="s">
        <v>53</v>
      </c>
      <c r="K371" s="8">
        <f>C55</f>
        <v>0</v>
      </c>
      <c r="L371" s="8">
        <v>700</v>
      </c>
      <c r="M371" s="8"/>
      <c r="N371" s="29">
        <f>N369*K371</f>
        <v>0</v>
      </c>
    </row>
    <row r="372" spans="10:15" ht="15" customHeight="1" x14ac:dyDescent="0.2">
      <c r="J372" s="7" t="s">
        <v>198</v>
      </c>
      <c r="K372" s="8">
        <f>L372/K369</f>
        <v>0</v>
      </c>
      <c r="L372" s="8">
        <f>F55</f>
        <v>0</v>
      </c>
      <c r="M372" s="8"/>
      <c r="N372" s="29">
        <f>N369*K372</f>
        <v>0</v>
      </c>
    </row>
    <row r="373" spans="10:15" ht="15" customHeight="1" x14ac:dyDescent="0.2">
      <c r="J373" s="30"/>
      <c r="K373" s="30"/>
      <c r="L373" s="30"/>
      <c r="M373" s="30"/>
      <c r="O373" s="42">
        <f>SUM(N371:N372)</f>
        <v>0</v>
      </c>
    </row>
    <row r="374" spans="10:15" ht="15" customHeight="1" x14ac:dyDescent="0.2">
      <c r="J374" s="94" t="s">
        <v>1057</v>
      </c>
      <c r="K374" s="30"/>
      <c r="L374" s="30"/>
      <c r="M374" s="30"/>
      <c r="N374" s="30"/>
    </row>
    <row r="375" spans="10:15" ht="15" customHeight="1" x14ac:dyDescent="0.2">
      <c r="J375" s="7" t="s">
        <v>48</v>
      </c>
      <c r="K375" s="8">
        <v>50</v>
      </c>
      <c r="L375" s="8">
        <v>500</v>
      </c>
      <c r="M375" s="29">
        <v>8.4600000000000009</v>
      </c>
      <c r="N375" s="29">
        <f>(M375*K375)/L375</f>
        <v>0.84600000000000009</v>
      </c>
    </row>
    <row r="376" spans="10:15" ht="15" customHeight="1" x14ac:dyDescent="0.2">
      <c r="J376" s="8" t="s">
        <v>52</v>
      </c>
      <c r="K376" s="8">
        <f>L376/K375</f>
        <v>14</v>
      </c>
      <c r="L376" s="8">
        <v>700</v>
      </c>
      <c r="M376" s="8"/>
      <c r="N376" s="29">
        <f>N375*K376</f>
        <v>11.844000000000001</v>
      </c>
    </row>
    <row r="377" spans="10:15" ht="15" customHeight="1" x14ac:dyDescent="0.2">
      <c r="J377" s="7" t="s">
        <v>53</v>
      </c>
      <c r="K377" s="8"/>
      <c r="L377" s="8">
        <v>700</v>
      </c>
      <c r="M377" s="8"/>
      <c r="N377" s="29">
        <f>N375*K377</f>
        <v>0</v>
      </c>
    </row>
    <row r="378" spans="10:15" ht="15" customHeight="1" x14ac:dyDescent="0.2">
      <c r="J378" s="7" t="s">
        <v>713</v>
      </c>
      <c r="K378" s="8">
        <f>L378/K375</f>
        <v>0</v>
      </c>
      <c r="L378" s="8">
        <f>F47</f>
        <v>0</v>
      </c>
      <c r="M378" s="8"/>
      <c r="N378" s="29">
        <f>N375*K378</f>
        <v>0</v>
      </c>
    </row>
    <row r="379" spans="10:15" ht="15" customHeight="1" x14ac:dyDescent="0.2">
      <c r="J379" s="30"/>
      <c r="K379" s="30"/>
      <c r="L379" s="30"/>
      <c r="M379" s="30"/>
      <c r="O379" s="42">
        <f>SUM(N377:N378)</f>
        <v>0</v>
      </c>
    </row>
    <row r="380" spans="10:15" ht="15" customHeight="1" x14ac:dyDescent="0.2">
      <c r="J380" s="90" t="s">
        <v>691</v>
      </c>
      <c r="K380" s="30"/>
      <c r="L380" s="30"/>
      <c r="M380" s="30"/>
      <c r="N380" s="30"/>
    </row>
    <row r="381" spans="10:15" ht="15" customHeight="1" x14ac:dyDescent="0.2">
      <c r="J381" s="7" t="s">
        <v>755</v>
      </c>
      <c r="K381" s="8">
        <v>15</v>
      </c>
      <c r="L381" s="8">
        <v>1000</v>
      </c>
      <c r="M381" s="29">
        <v>0.7</v>
      </c>
      <c r="N381" s="29">
        <f>(M381*K381)/L381</f>
        <v>1.0500000000000001E-2</v>
      </c>
    </row>
    <row r="382" spans="10:15" ht="15" customHeight="1" x14ac:dyDescent="0.2">
      <c r="J382" s="8" t="s">
        <v>52</v>
      </c>
      <c r="K382" s="8">
        <f>L382/K381</f>
        <v>46.666666666666664</v>
      </c>
      <c r="L382" s="8">
        <v>700</v>
      </c>
      <c r="M382" s="8"/>
      <c r="N382" s="29">
        <f>N381*K382</f>
        <v>0.49</v>
      </c>
    </row>
    <row r="383" spans="10:15" ht="15" customHeight="1" x14ac:dyDescent="0.2">
      <c r="J383" s="7" t="s">
        <v>1113</v>
      </c>
      <c r="K383" s="8">
        <f>C49</f>
        <v>0</v>
      </c>
      <c r="L383" s="8">
        <v>700</v>
      </c>
      <c r="M383" s="8"/>
      <c r="N383" s="29">
        <f>K383*N381</f>
        <v>0</v>
      </c>
    </row>
    <row r="384" spans="10:15" ht="15" customHeight="1" x14ac:dyDescent="0.2">
      <c r="J384" s="7" t="s">
        <v>198</v>
      </c>
      <c r="K384" s="8">
        <f>L384/K381</f>
        <v>0</v>
      </c>
      <c r="L384" s="8">
        <f>F49</f>
        <v>0</v>
      </c>
      <c r="M384" s="8"/>
      <c r="N384" s="29">
        <f>N381*K384</f>
        <v>0</v>
      </c>
    </row>
    <row r="385" spans="10:15" ht="15" customHeight="1" x14ac:dyDescent="0.2">
      <c r="J385" s="30"/>
      <c r="K385" s="30"/>
      <c r="L385" s="30"/>
      <c r="M385" s="30"/>
      <c r="O385" s="42">
        <f>SUM(N383:N384)</f>
        <v>0</v>
      </c>
    </row>
    <row r="386" spans="10:15" ht="15" customHeight="1" x14ac:dyDescent="0.2">
      <c r="J386" s="90" t="s">
        <v>1107</v>
      </c>
      <c r="K386" s="30"/>
      <c r="L386" s="30"/>
      <c r="M386" s="30"/>
      <c r="N386" s="30"/>
    </row>
    <row r="387" spans="10:15" ht="15" customHeight="1" x14ac:dyDescent="0.2">
      <c r="J387" s="7" t="s">
        <v>799</v>
      </c>
      <c r="K387" s="8">
        <v>41</v>
      </c>
      <c r="L387" s="8">
        <v>700</v>
      </c>
      <c r="M387" s="29">
        <v>19</v>
      </c>
      <c r="N387" s="29">
        <f>(M387*K387)/L387</f>
        <v>1.1128571428571428</v>
      </c>
    </row>
    <row r="388" spans="10:15" ht="15" customHeight="1" x14ac:dyDescent="0.2">
      <c r="J388" s="7" t="s">
        <v>1090</v>
      </c>
      <c r="K388" s="8">
        <v>27</v>
      </c>
      <c r="L388" s="80">
        <v>600</v>
      </c>
      <c r="M388" s="8">
        <v>1.75</v>
      </c>
      <c r="N388" s="29">
        <f t="shared" ref="N388:N390" si="25">(M388*K388)/L388</f>
        <v>7.8750000000000001E-2</v>
      </c>
    </row>
    <row r="389" spans="10:15" ht="15" customHeight="1" x14ac:dyDescent="0.2">
      <c r="J389" s="7" t="s">
        <v>1109</v>
      </c>
      <c r="K389" s="8">
        <v>13</v>
      </c>
      <c r="L389" s="80">
        <v>500</v>
      </c>
      <c r="M389" s="8">
        <v>10.63</v>
      </c>
      <c r="N389" s="29">
        <f t="shared" si="25"/>
        <v>0.27638000000000001</v>
      </c>
    </row>
    <row r="390" spans="10:15" ht="15" customHeight="1" x14ac:dyDescent="0.2">
      <c r="J390" s="7" t="s">
        <v>1082</v>
      </c>
      <c r="K390" s="8">
        <v>9</v>
      </c>
      <c r="L390" s="8">
        <v>700</v>
      </c>
      <c r="M390" s="29">
        <v>5.22</v>
      </c>
      <c r="N390" s="29">
        <f t="shared" si="25"/>
        <v>6.711428571428571E-2</v>
      </c>
    </row>
    <row r="391" spans="10:15" ht="15" customHeight="1" x14ac:dyDescent="0.2">
      <c r="J391" s="7" t="s">
        <v>1110</v>
      </c>
      <c r="K391" s="8">
        <v>22</v>
      </c>
      <c r="L391" s="69">
        <v>2000</v>
      </c>
      <c r="M391" s="8">
        <v>5</v>
      </c>
      <c r="N391" s="29">
        <f t="shared" ref="N391:N393" si="26">(M391*K391)/L391</f>
        <v>5.5E-2</v>
      </c>
    </row>
    <row r="392" spans="10:15" ht="15" customHeight="1" x14ac:dyDescent="0.2">
      <c r="J392" s="7" t="s">
        <v>1111</v>
      </c>
      <c r="K392" s="8">
        <v>41</v>
      </c>
      <c r="L392" s="69">
        <v>1000</v>
      </c>
      <c r="M392" s="8">
        <v>8.5</v>
      </c>
      <c r="N392" s="29">
        <f t="shared" si="26"/>
        <v>0.34849999999999998</v>
      </c>
    </row>
    <row r="393" spans="10:15" ht="15" customHeight="1" x14ac:dyDescent="0.2">
      <c r="J393" s="7" t="s">
        <v>1112</v>
      </c>
      <c r="K393" s="8">
        <v>27</v>
      </c>
      <c r="L393" s="69">
        <v>1000</v>
      </c>
      <c r="M393" s="8">
        <v>2</v>
      </c>
      <c r="N393" s="29">
        <f t="shared" si="26"/>
        <v>5.3999999999999999E-2</v>
      </c>
    </row>
    <row r="394" spans="10:15" ht="15" customHeight="1" x14ac:dyDescent="0.2">
      <c r="J394" s="7" t="s">
        <v>48</v>
      </c>
      <c r="K394" s="8">
        <f>SUM(K387:K393)</f>
        <v>180</v>
      </c>
      <c r="L394" s="8"/>
      <c r="M394" s="8"/>
      <c r="N394" s="29">
        <f>SUM(N387:N393)</f>
        <v>1.9926014285714286</v>
      </c>
    </row>
    <row r="395" spans="10:15" ht="15" customHeight="1" x14ac:dyDescent="0.2">
      <c r="J395" s="8" t="s">
        <v>52</v>
      </c>
      <c r="K395" s="8">
        <f>L395/K394</f>
        <v>3.8888888888888888</v>
      </c>
      <c r="L395" s="8">
        <v>700</v>
      </c>
      <c r="M395" s="8"/>
      <c r="N395" s="29">
        <f>N394*K395</f>
        <v>7.7490055555555557</v>
      </c>
    </row>
    <row r="396" spans="10:15" ht="15" customHeight="1" x14ac:dyDescent="0.2">
      <c r="J396" s="7" t="s">
        <v>53</v>
      </c>
      <c r="K396" s="8">
        <f>C48</f>
        <v>0</v>
      </c>
      <c r="L396" s="8">
        <v>700</v>
      </c>
      <c r="M396" s="8"/>
      <c r="N396" s="29">
        <f>N394*K396</f>
        <v>0</v>
      </c>
    </row>
    <row r="397" spans="10:15" ht="15" customHeight="1" x14ac:dyDescent="0.2">
      <c r="J397" s="7" t="s">
        <v>198</v>
      </c>
      <c r="K397" s="8">
        <f>L397/K394</f>
        <v>0</v>
      </c>
      <c r="L397" s="8">
        <f>F48</f>
        <v>0</v>
      </c>
      <c r="M397" s="8"/>
      <c r="N397" s="29">
        <f>N394*K397</f>
        <v>0</v>
      </c>
    </row>
    <row r="398" spans="10:15" ht="15" customHeight="1" x14ac:dyDescent="0.2">
      <c r="J398" s="30"/>
      <c r="K398" s="30"/>
      <c r="L398" s="30"/>
      <c r="M398" s="30"/>
      <c r="O398" s="42">
        <f>SUM(N396:N397)</f>
        <v>0</v>
      </c>
    </row>
    <row r="399" spans="10:15" ht="15" customHeight="1" x14ac:dyDescent="0.2">
      <c r="J399" s="90" t="s">
        <v>1115</v>
      </c>
      <c r="K399" s="30"/>
      <c r="L399" s="30"/>
      <c r="M399" s="30"/>
      <c r="N399" s="30"/>
    </row>
    <row r="400" spans="10:15" ht="15" customHeight="1" x14ac:dyDescent="0.2">
      <c r="J400" s="7" t="s">
        <v>1116</v>
      </c>
      <c r="K400" s="11">
        <v>18.29</v>
      </c>
      <c r="L400" s="8">
        <v>700</v>
      </c>
      <c r="M400" s="29">
        <v>11</v>
      </c>
      <c r="N400" s="213">
        <f>(M400*K400)/L400</f>
        <v>0.28741428571428573</v>
      </c>
    </row>
    <row r="401" spans="10:15" ht="15" customHeight="1" x14ac:dyDescent="0.2">
      <c r="J401" s="7" t="s">
        <v>1117</v>
      </c>
      <c r="K401" s="11">
        <v>18.29</v>
      </c>
      <c r="L401" s="8">
        <v>700</v>
      </c>
      <c r="M401" s="29">
        <v>16.170000000000002</v>
      </c>
      <c r="N401" s="29">
        <f t="shared" ref="N401:N406" si="27">(M401*K401)/L401</f>
        <v>0.42249900000000001</v>
      </c>
    </row>
    <row r="402" spans="10:15" ht="15" customHeight="1" x14ac:dyDescent="0.2">
      <c r="J402" s="7" t="s">
        <v>1118</v>
      </c>
      <c r="K402" s="11">
        <v>24.39</v>
      </c>
      <c r="L402" s="8">
        <v>700</v>
      </c>
      <c r="M402" s="29">
        <v>20.29</v>
      </c>
      <c r="N402" s="29">
        <f t="shared" si="27"/>
        <v>0.70696157142857141</v>
      </c>
    </row>
    <row r="403" spans="10:15" ht="15" customHeight="1" x14ac:dyDescent="0.2">
      <c r="J403" s="7" t="s">
        <v>1119</v>
      </c>
      <c r="K403" s="11">
        <v>24.39</v>
      </c>
      <c r="L403" s="8">
        <v>1000</v>
      </c>
      <c r="M403" s="29">
        <v>9.2200000000000006</v>
      </c>
      <c r="N403" s="29">
        <f t="shared" si="27"/>
        <v>0.22487580000000001</v>
      </c>
    </row>
    <row r="404" spans="10:15" ht="15" customHeight="1" x14ac:dyDescent="0.2">
      <c r="J404" s="7" t="s">
        <v>1120</v>
      </c>
      <c r="K404" s="11">
        <v>24.39</v>
      </c>
      <c r="L404" s="8">
        <v>1000</v>
      </c>
      <c r="M404" s="29">
        <v>10.16</v>
      </c>
      <c r="N404" s="29">
        <f t="shared" si="27"/>
        <v>0.24780240000000001</v>
      </c>
    </row>
    <row r="405" spans="10:15" ht="15" customHeight="1" x14ac:dyDescent="0.2">
      <c r="J405" s="7" t="s">
        <v>1121</v>
      </c>
      <c r="K405" s="11">
        <v>21.95</v>
      </c>
      <c r="L405" s="8">
        <v>500</v>
      </c>
      <c r="M405" s="29">
        <v>5</v>
      </c>
      <c r="N405" s="29">
        <f t="shared" si="27"/>
        <v>0.2195</v>
      </c>
    </row>
    <row r="406" spans="10:15" ht="15" customHeight="1" x14ac:dyDescent="0.2">
      <c r="J406" s="7" t="s">
        <v>683</v>
      </c>
      <c r="K406" s="11">
        <v>1.0980000000000001</v>
      </c>
      <c r="L406" s="8">
        <v>200</v>
      </c>
      <c r="M406" s="29">
        <v>10.199999999999999</v>
      </c>
      <c r="N406" s="29">
        <f t="shared" si="27"/>
        <v>5.5997999999999999E-2</v>
      </c>
    </row>
    <row r="407" spans="10:15" ht="15" customHeight="1" x14ac:dyDescent="0.2">
      <c r="J407" s="7" t="s">
        <v>48</v>
      </c>
      <c r="K407" s="8">
        <f>SUM(K400:K406)</f>
        <v>132.798</v>
      </c>
      <c r="L407" s="8"/>
      <c r="M407" s="8"/>
      <c r="N407" s="29">
        <f>SUM(N400:N406)</f>
        <v>2.1650510571428572</v>
      </c>
    </row>
    <row r="408" spans="10:15" ht="15" customHeight="1" x14ac:dyDescent="0.2">
      <c r="J408" s="8" t="s">
        <v>52</v>
      </c>
      <c r="K408" s="8">
        <f>L408/K407</f>
        <v>5.2711637223452161</v>
      </c>
      <c r="L408" s="8">
        <v>700</v>
      </c>
      <c r="M408" s="8"/>
      <c r="N408" s="29">
        <f>N407*K408</f>
        <v>11.412338589436589</v>
      </c>
    </row>
    <row r="409" spans="10:15" ht="15" customHeight="1" x14ac:dyDescent="0.2">
      <c r="J409" s="7" t="s">
        <v>53</v>
      </c>
      <c r="K409" s="8">
        <f>C51</f>
        <v>0</v>
      </c>
      <c r="L409" s="8">
        <v>700</v>
      </c>
      <c r="M409" s="8"/>
      <c r="N409" s="29">
        <f>N407*K409</f>
        <v>0</v>
      </c>
    </row>
    <row r="410" spans="10:15" ht="15" customHeight="1" x14ac:dyDescent="0.2">
      <c r="J410" s="7" t="s">
        <v>198</v>
      </c>
      <c r="K410" s="8">
        <f>L410/K407</f>
        <v>0</v>
      </c>
      <c r="L410" s="8">
        <f>F51</f>
        <v>0</v>
      </c>
      <c r="M410" s="8"/>
      <c r="N410" s="29">
        <f>N407*K410</f>
        <v>0</v>
      </c>
    </row>
    <row r="411" spans="10:15" ht="15" customHeight="1" x14ac:dyDescent="0.2">
      <c r="J411" s="30"/>
      <c r="K411" s="30"/>
      <c r="L411" s="30"/>
      <c r="M411" s="30"/>
      <c r="O411" s="42">
        <f>SUM(N409:N410)</f>
        <v>0</v>
      </c>
    </row>
    <row r="412" spans="10:15" ht="15" customHeight="1" x14ac:dyDescent="0.2">
      <c r="J412" s="94" t="s">
        <v>755</v>
      </c>
      <c r="K412" s="30"/>
      <c r="L412" s="30"/>
      <c r="M412" s="30"/>
      <c r="N412" s="30"/>
    </row>
    <row r="413" spans="10:15" ht="15" customHeight="1" x14ac:dyDescent="0.2">
      <c r="J413" s="7" t="s">
        <v>48</v>
      </c>
      <c r="K413" s="8">
        <v>100</v>
      </c>
      <c r="L413" s="8">
        <v>1000</v>
      </c>
      <c r="M413" s="29">
        <f>Producciones!F329</f>
        <v>0.8472904</v>
      </c>
      <c r="N413" s="29">
        <f>(M413*K413)/L413</f>
        <v>8.4729039999999992E-2</v>
      </c>
    </row>
    <row r="414" spans="10:15" ht="15" customHeight="1" x14ac:dyDescent="0.2">
      <c r="J414" s="8" t="s">
        <v>52</v>
      </c>
      <c r="K414" s="8">
        <f>L414/K413</f>
        <v>7</v>
      </c>
      <c r="L414" s="8">
        <v>700</v>
      </c>
      <c r="M414" s="8"/>
      <c r="N414" s="29">
        <f>N413*K414</f>
        <v>0.5931032799999999</v>
      </c>
    </row>
    <row r="415" spans="10:15" ht="15" customHeight="1" x14ac:dyDescent="0.2">
      <c r="J415" s="7" t="s">
        <v>53</v>
      </c>
      <c r="K415" s="8"/>
      <c r="L415" s="8">
        <v>700</v>
      </c>
      <c r="M415" s="8"/>
      <c r="N415" s="29">
        <f>N413*K415</f>
        <v>0</v>
      </c>
    </row>
    <row r="416" spans="10:15" ht="15" customHeight="1" x14ac:dyDescent="0.2">
      <c r="J416" s="7" t="s">
        <v>713</v>
      </c>
      <c r="K416" s="8">
        <f>L416/K413</f>
        <v>0</v>
      </c>
      <c r="L416" s="8">
        <f>F60</f>
        <v>0</v>
      </c>
      <c r="M416" s="8"/>
      <c r="N416" s="29">
        <f>N413*K416</f>
        <v>0</v>
      </c>
    </row>
    <row r="417" spans="10:15" ht="15" customHeight="1" x14ac:dyDescent="0.2">
      <c r="J417" s="30"/>
      <c r="K417" s="30"/>
      <c r="L417" s="30"/>
      <c r="M417" s="30"/>
      <c r="O417" s="42">
        <f>SUM(N415:N416)</f>
        <v>0</v>
      </c>
    </row>
    <row r="418" spans="10:15" ht="15" customHeight="1" x14ac:dyDescent="0.2">
      <c r="J418" s="90" t="s">
        <v>1123</v>
      </c>
      <c r="K418" s="30"/>
      <c r="L418" s="30"/>
      <c r="M418" s="30"/>
      <c r="N418" s="30"/>
    </row>
    <row r="419" spans="10:15" ht="15" customHeight="1" x14ac:dyDescent="0.2">
      <c r="J419" s="7" t="s">
        <v>1124</v>
      </c>
      <c r="K419" s="8">
        <v>30</v>
      </c>
      <c r="L419" s="8">
        <v>1500</v>
      </c>
      <c r="M419" s="29">
        <v>28</v>
      </c>
      <c r="N419" s="29">
        <f>(M419*K419)/L419</f>
        <v>0.56000000000000005</v>
      </c>
    </row>
    <row r="420" spans="10:15" ht="15" customHeight="1" x14ac:dyDescent="0.2">
      <c r="J420" s="7" t="s">
        <v>1125</v>
      </c>
      <c r="K420" s="8">
        <v>10</v>
      </c>
      <c r="L420" s="8">
        <v>700</v>
      </c>
      <c r="M420" s="29">
        <v>11.75</v>
      </c>
      <c r="N420" s="29">
        <f t="shared" ref="N420:N423" si="28">(M420*K420)/L420</f>
        <v>0.16785714285714284</v>
      </c>
    </row>
    <row r="421" spans="10:15" ht="15" customHeight="1" x14ac:dyDescent="0.2">
      <c r="J421" s="7" t="s">
        <v>991</v>
      </c>
      <c r="K421" s="8">
        <v>5</v>
      </c>
      <c r="L421" s="8">
        <v>700</v>
      </c>
      <c r="M421" s="29">
        <v>12.1</v>
      </c>
      <c r="N421" s="29">
        <f t="shared" si="28"/>
        <v>8.6428571428571424E-2</v>
      </c>
    </row>
    <row r="422" spans="10:15" ht="15" customHeight="1" x14ac:dyDescent="0.2">
      <c r="J422" s="7" t="s">
        <v>1126</v>
      </c>
      <c r="K422" s="8">
        <v>35</v>
      </c>
      <c r="L422" s="8">
        <v>1000</v>
      </c>
      <c r="M422" s="29">
        <v>3.66</v>
      </c>
      <c r="N422" s="29">
        <f t="shared" si="28"/>
        <v>0.12809999999999999</v>
      </c>
    </row>
    <row r="423" spans="10:15" ht="15" customHeight="1" x14ac:dyDescent="0.2">
      <c r="J423" s="7" t="s">
        <v>58</v>
      </c>
      <c r="K423" s="8">
        <v>15</v>
      </c>
      <c r="L423" s="8">
        <v>1000</v>
      </c>
      <c r="M423" s="29">
        <v>2.5</v>
      </c>
      <c r="N423" s="29">
        <f t="shared" si="28"/>
        <v>3.7499999999999999E-2</v>
      </c>
    </row>
    <row r="424" spans="10:15" ht="15" customHeight="1" x14ac:dyDescent="0.2">
      <c r="J424" s="7" t="s">
        <v>48</v>
      </c>
      <c r="K424" s="8">
        <f>SUM(K419:K423)</f>
        <v>95</v>
      </c>
      <c r="L424" s="8"/>
      <c r="M424" s="8"/>
      <c r="N424" s="29">
        <f>SUM(N419:N423)</f>
        <v>0.97988571428571425</v>
      </c>
    </row>
    <row r="425" spans="10:15" ht="15" customHeight="1" x14ac:dyDescent="0.2">
      <c r="J425" s="8" t="s">
        <v>52</v>
      </c>
      <c r="K425" s="8">
        <f>L425/K424</f>
        <v>7.3684210526315788</v>
      </c>
      <c r="L425" s="8">
        <v>700</v>
      </c>
      <c r="M425" s="8"/>
      <c r="N425" s="29">
        <f>N424*K425</f>
        <v>7.220210526315789</v>
      </c>
    </row>
    <row r="426" spans="10:15" ht="15" customHeight="1" x14ac:dyDescent="0.2">
      <c r="J426" s="7" t="s">
        <v>53</v>
      </c>
      <c r="K426" s="8">
        <f>C52</f>
        <v>0</v>
      </c>
      <c r="L426" s="8">
        <v>700</v>
      </c>
      <c r="M426" s="8"/>
      <c r="N426" s="29">
        <f>N424*K426</f>
        <v>0</v>
      </c>
    </row>
    <row r="427" spans="10:15" ht="15" customHeight="1" x14ac:dyDescent="0.2">
      <c r="J427" s="7" t="s">
        <v>198</v>
      </c>
      <c r="K427" s="8">
        <f>L427/K424</f>
        <v>0</v>
      </c>
      <c r="L427" s="8">
        <f>F52</f>
        <v>0</v>
      </c>
      <c r="M427" s="8"/>
      <c r="N427" s="29">
        <f>N424*K427</f>
        <v>0</v>
      </c>
    </row>
    <row r="428" spans="10:15" ht="15" customHeight="1" x14ac:dyDescent="0.2">
      <c r="J428" s="30"/>
      <c r="K428" s="30"/>
      <c r="L428" s="30"/>
      <c r="M428" s="30"/>
      <c r="O428" s="42">
        <f>SUM(N426:N427)</f>
        <v>0</v>
      </c>
    </row>
    <row r="429" spans="10:15" ht="15" customHeight="1" x14ac:dyDescent="0.2">
      <c r="J429" s="90" t="s">
        <v>1046</v>
      </c>
      <c r="K429" s="30"/>
      <c r="L429" s="30"/>
      <c r="M429" s="30"/>
      <c r="N429" s="30"/>
    </row>
    <row r="430" spans="10:15" ht="15" customHeight="1" x14ac:dyDescent="0.2">
      <c r="J430" s="7" t="s">
        <v>48</v>
      </c>
      <c r="K430" s="8">
        <v>20</v>
      </c>
      <c r="L430" s="8">
        <v>900</v>
      </c>
      <c r="M430" s="8">
        <v>2.57</v>
      </c>
      <c r="N430" s="29">
        <f>K430*M430/L430</f>
        <v>5.7111111111111112E-2</v>
      </c>
    </row>
    <row r="431" spans="10:15" ht="15" customHeight="1" x14ac:dyDescent="0.2">
      <c r="J431" s="8" t="s">
        <v>52</v>
      </c>
      <c r="K431" s="8">
        <f>L431/K430</f>
        <v>35</v>
      </c>
      <c r="L431" s="8">
        <v>700</v>
      </c>
      <c r="M431" s="8"/>
      <c r="N431" s="29">
        <f>N430*K431</f>
        <v>1.9988888888888889</v>
      </c>
    </row>
    <row r="432" spans="10:15" ht="15" customHeight="1" x14ac:dyDescent="0.2">
      <c r="J432" s="7" t="s">
        <v>53</v>
      </c>
      <c r="K432" s="8">
        <f>C53</f>
        <v>0</v>
      </c>
      <c r="L432" s="8">
        <v>700</v>
      </c>
      <c r="M432" s="8"/>
      <c r="N432" s="29">
        <f>N430*K432</f>
        <v>0</v>
      </c>
    </row>
    <row r="433" spans="10:15" ht="15" customHeight="1" x14ac:dyDescent="0.2">
      <c r="J433" s="7" t="s">
        <v>116</v>
      </c>
      <c r="K433" s="8">
        <f>L433/K430</f>
        <v>0</v>
      </c>
      <c r="L433" s="8">
        <f>F53</f>
        <v>0</v>
      </c>
      <c r="M433" s="8"/>
      <c r="N433" s="29">
        <f>N430*K433</f>
        <v>0</v>
      </c>
    </row>
    <row r="434" spans="10:15" ht="15" customHeight="1" x14ac:dyDescent="0.2">
      <c r="J434" s="30"/>
      <c r="K434" s="30"/>
      <c r="L434" s="30"/>
      <c r="M434" s="30"/>
      <c r="O434" s="42">
        <f>SUM(N432:N433)</f>
        <v>0</v>
      </c>
    </row>
    <row r="435" spans="10:15" ht="15" customHeight="1" x14ac:dyDescent="0.2">
      <c r="J435" s="90" t="s">
        <v>759</v>
      </c>
      <c r="K435" s="30"/>
      <c r="L435" s="30"/>
      <c r="M435" s="30"/>
      <c r="N435" s="30"/>
    </row>
    <row r="436" spans="10:15" ht="15" customHeight="1" x14ac:dyDescent="0.2">
      <c r="J436" s="7" t="s">
        <v>48</v>
      </c>
      <c r="K436" s="8">
        <v>25</v>
      </c>
      <c r="L436" s="8">
        <v>1000</v>
      </c>
      <c r="M436" s="29">
        <f>Producciones!F27</f>
        <v>10.076879999999999</v>
      </c>
      <c r="N436" s="29">
        <f>(M436*K436)/L436</f>
        <v>0.25192199999999998</v>
      </c>
    </row>
    <row r="437" spans="10:15" ht="15" customHeight="1" x14ac:dyDescent="0.2">
      <c r="J437" s="7" t="s">
        <v>52</v>
      </c>
      <c r="K437" s="8">
        <f>L438/K436</f>
        <v>28</v>
      </c>
      <c r="L437" s="8"/>
      <c r="M437" s="29"/>
      <c r="N437" s="29">
        <f>N436*K437</f>
        <v>7.0538159999999994</v>
      </c>
    </row>
    <row r="438" spans="10:15" ht="15" customHeight="1" x14ac:dyDescent="0.2">
      <c r="J438" s="7" t="s">
        <v>53</v>
      </c>
      <c r="K438" s="8">
        <f>C395</f>
        <v>0</v>
      </c>
      <c r="L438" s="8">
        <v>700</v>
      </c>
      <c r="M438" s="8"/>
      <c r="N438" s="29">
        <f>N437*K438</f>
        <v>0</v>
      </c>
    </row>
    <row r="439" spans="10:15" ht="15" customHeight="1" x14ac:dyDescent="0.2">
      <c r="J439" s="7" t="s">
        <v>713</v>
      </c>
      <c r="K439" s="8">
        <f>L439/K436</f>
        <v>0</v>
      </c>
      <c r="L439" s="8">
        <f>F63</f>
        <v>0</v>
      </c>
      <c r="M439" s="8"/>
      <c r="N439" s="29">
        <f>N436*K439</f>
        <v>0</v>
      </c>
    </row>
    <row r="440" spans="10:15" ht="15" customHeight="1" x14ac:dyDescent="0.2">
      <c r="J440" s="30"/>
      <c r="K440" s="30"/>
      <c r="L440" s="30"/>
      <c r="M440" s="30"/>
      <c r="O440" s="42">
        <f>SUM(N438:N439)</f>
        <v>0</v>
      </c>
    </row>
    <row r="441" spans="10:15" ht="15" customHeight="1" x14ac:dyDescent="0.2">
      <c r="J441" s="90" t="s">
        <v>1061</v>
      </c>
      <c r="K441" s="30"/>
      <c r="L441" s="30"/>
      <c r="M441" s="30"/>
      <c r="N441" s="30"/>
    </row>
    <row r="442" spans="10:15" ht="15" customHeight="1" x14ac:dyDescent="0.2">
      <c r="J442" s="7" t="s">
        <v>48</v>
      </c>
      <c r="K442" s="8">
        <v>50</v>
      </c>
      <c r="L442" s="8">
        <v>700</v>
      </c>
      <c r="M442" s="29">
        <v>20.89</v>
      </c>
      <c r="N442" s="29">
        <f>(M442*K442)/L442</f>
        <v>1.4921428571428572</v>
      </c>
    </row>
    <row r="443" spans="10:15" ht="15" customHeight="1" x14ac:dyDescent="0.2">
      <c r="J443" s="7" t="s">
        <v>52</v>
      </c>
      <c r="K443" s="8">
        <f>L444/K442</f>
        <v>14</v>
      </c>
      <c r="L443" s="8"/>
      <c r="M443" s="29"/>
      <c r="N443" s="29">
        <f>N442*K443</f>
        <v>20.89</v>
      </c>
    </row>
    <row r="444" spans="10:15" ht="15" customHeight="1" x14ac:dyDescent="0.2">
      <c r="J444" s="7" t="s">
        <v>53</v>
      </c>
      <c r="K444" s="8"/>
      <c r="L444" s="8">
        <v>700</v>
      </c>
      <c r="M444" s="8"/>
      <c r="N444" s="29">
        <f>N443*K444</f>
        <v>0</v>
      </c>
    </row>
    <row r="445" spans="10:15" ht="15" customHeight="1" x14ac:dyDescent="0.2">
      <c r="J445" s="7" t="s">
        <v>713</v>
      </c>
      <c r="K445" s="8">
        <f>L445/K442</f>
        <v>0</v>
      </c>
      <c r="L445" s="8">
        <f>F55</f>
        <v>0</v>
      </c>
      <c r="M445" s="8"/>
      <c r="N445" s="29">
        <f>N442*K445</f>
        <v>0</v>
      </c>
    </row>
    <row r="446" spans="10:15" ht="15" customHeight="1" x14ac:dyDescent="0.2">
      <c r="J446" s="30"/>
      <c r="K446" s="30"/>
      <c r="L446" s="30"/>
      <c r="M446" s="30"/>
      <c r="O446" s="42">
        <f>SUM(N444:N445)</f>
        <v>0</v>
      </c>
    </row>
    <row r="447" spans="10:15" ht="15" customHeight="1" x14ac:dyDescent="0.2">
      <c r="J447" s="90" t="s">
        <v>1128</v>
      </c>
      <c r="K447" s="30"/>
      <c r="L447" s="30"/>
      <c r="M447" s="30"/>
      <c r="N447" s="30"/>
    </row>
    <row r="448" spans="10:15" ht="15" customHeight="1" x14ac:dyDescent="0.2">
      <c r="J448" s="7" t="s">
        <v>1129</v>
      </c>
      <c r="K448" s="8">
        <v>15</v>
      </c>
      <c r="L448" s="8">
        <v>700</v>
      </c>
      <c r="M448" s="29">
        <v>6.9</v>
      </c>
      <c r="N448" s="29">
        <f>(M448*K448)/L448</f>
        <v>0.14785714285714285</v>
      </c>
    </row>
    <row r="449" spans="10:15" ht="15" customHeight="1" x14ac:dyDescent="0.2">
      <c r="J449" s="7" t="s">
        <v>1130</v>
      </c>
      <c r="K449" s="8">
        <v>15</v>
      </c>
      <c r="L449" s="8">
        <v>700</v>
      </c>
      <c r="M449" s="29">
        <v>10.11</v>
      </c>
      <c r="N449" s="29">
        <f t="shared" ref="N449:N451" si="29">(M449*K449)/L449</f>
        <v>0.21664285714285711</v>
      </c>
    </row>
    <row r="450" spans="10:15" ht="15" customHeight="1" x14ac:dyDescent="0.2">
      <c r="J450" s="7" t="s">
        <v>1131</v>
      </c>
      <c r="K450" s="8">
        <v>10</v>
      </c>
      <c r="L450" s="8">
        <v>700</v>
      </c>
      <c r="M450" s="29">
        <v>10.97</v>
      </c>
      <c r="N450" s="29">
        <f t="shared" si="29"/>
        <v>0.15671428571428572</v>
      </c>
    </row>
    <row r="451" spans="10:15" ht="15" customHeight="1" x14ac:dyDescent="0.2">
      <c r="J451" s="7" t="s">
        <v>749</v>
      </c>
      <c r="K451" s="8">
        <v>15</v>
      </c>
      <c r="L451" s="8">
        <v>700</v>
      </c>
      <c r="M451" s="29">
        <v>12.32</v>
      </c>
      <c r="N451" s="29">
        <f t="shared" si="29"/>
        <v>0.26400000000000001</v>
      </c>
    </row>
    <row r="452" spans="10:15" ht="15" customHeight="1" x14ac:dyDescent="0.2">
      <c r="J452" s="7" t="s">
        <v>758</v>
      </c>
      <c r="K452" s="8">
        <v>5</v>
      </c>
      <c r="L452" s="8">
        <v>500</v>
      </c>
      <c r="M452" s="29">
        <v>22</v>
      </c>
      <c r="N452" s="29">
        <f t="shared" ref="N452" si="30">(M452*K452)/L452</f>
        <v>0.22</v>
      </c>
    </row>
    <row r="453" spans="10:15" ht="15" customHeight="1" x14ac:dyDescent="0.2">
      <c r="J453" s="7" t="s">
        <v>48</v>
      </c>
      <c r="K453" s="8">
        <f>SUM(K448:K452)</f>
        <v>60</v>
      </c>
      <c r="L453" s="8"/>
      <c r="M453" s="8"/>
      <c r="N453" s="29">
        <f>SUM(N448:N452)</f>
        <v>1.0052142857142856</v>
      </c>
    </row>
    <row r="454" spans="10:15" ht="15" customHeight="1" x14ac:dyDescent="0.2">
      <c r="J454" s="8" t="s">
        <v>52</v>
      </c>
      <c r="K454" s="8">
        <f>L454/K453</f>
        <v>11.666666666666666</v>
      </c>
      <c r="L454" s="8">
        <v>700</v>
      </c>
      <c r="M454" s="8"/>
      <c r="N454" s="29">
        <f>N453*K454</f>
        <v>11.727499999999997</v>
      </c>
    </row>
    <row r="455" spans="10:15" ht="15" customHeight="1" x14ac:dyDescent="0.2">
      <c r="J455" s="7" t="s">
        <v>53</v>
      </c>
      <c r="K455" s="8">
        <f>C54</f>
        <v>0</v>
      </c>
      <c r="L455" s="8">
        <v>700</v>
      </c>
      <c r="M455" s="8"/>
      <c r="N455" s="29">
        <f>N453*K455</f>
        <v>0</v>
      </c>
    </row>
    <row r="456" spans="10:15" ht="15" customHeight="1" x14ac:dyDescent="0.2">
      <c r="J456" s="7" t="s">
        <v>198</v>
      </c>
      <c r="K456" s="8">
        <f>L456/K453</f>
        <v>0</v>
      </c>
      <c r="L456" s="8">
        <f>F54</f>
        <v>0</v>
      </c>
      <c r="M456" s="8"/>
      <c r="N456" s="29">
        <f>N453*K456</f>
        <v>0</v>
      </c>
    </row>
    <row r="457" spans="10:15" ht="15" customHeight="1" x14ac:dyDescent="0.2">
      <c r="J457" s="30"/>
      <c r="K457" s="30"/>
      <c r="L457" s="30"/>
      <c r="M457" s="30"/>
      <c r="O457" s="42">
        <f>SUM(N455:N456)</f>
        <v>0</v>
      </c>
    </row>
    <row r="458" spans="10:15" ht="15" customHeight="1" x14ac:dyDescent="0.2">
      <c r="J458" s="90" t="s">
        <v>1064</v>
      </c>
      <c r="K458" s="30"/>
      <c r="L458" s="30"/>
      <c r="M458" s="30"/>
      <c r="N458" s="30"/>
    </row>
    <row r="459" spans="10:15" ht="15" customHeight="1" x14ac:dyDescent="0.2">
      <c r="J459" s="7" t="s">
        <v>1064</v>
      </c>
      <c r="K459" s="8">
        <v>10</v>
      </c>
      <c r="L459" s="8">
        <v>600</v>
      </c>
      <c r="M459" s="29">
        <v>7.06</v>
      </c>
      <c r="N459" s="29">
        <f>(M459*K459)/L459</f>
        <v>0.11766666666666666</v>
      </c>
    </row>
    <row r="460" spans="10:15" ht="15" customHeight="1" x14ac:dyDescent="0.2">
      <c r="J460" s="7" t="s">
        <v>52</v>
      </c>
      <c r="K460" s="8">
        <f>L461/K459</f>
        <v>70</v>
      </c>
      <c r="L460" s="8"/>
      <c r="M460" s="29"/>
      <c r="N460" s="29">
        <f>N459*K460</f>
        <v>8.2366666666666664</v>
      </c>
    </row>
    <row r="461" spans="10:15" ht="15" customHeight="1" x14ac:dyDescent="0.2">
      <c r="J461" s="7" t="s">
        <v>53</v>
      </c>
      <c r="K461" s="8"/>
      <c r="L461" s="8">
        <v>700</v>
      </c>
      <c r="M461" s="8"/>
      <c r="N461" s="29">
        <f>N460*K461</f>
        <v>0</v>
      </c>
    </row>
    <row r="462" spans="10:15" ht="15" customHeight="1" x14ac:dyDescent="0.2">
      <c r="J462" s="7" t="s">
        <v>713</v>
      </c>
      <c r="K462" s="8">
        <f>L462/K459</f>
        <v>0</v>
      </c>
      <c r="L462" s="8">
        <f>F50</f>
        <v>0</v>
      </c>
      <c r="M462" s="8"/>
      <c r="N462" s="29">
        <f>N459*K462</f>
        <v>0</v>
      </c>
    </row>
    <row r="463" spans="10:15" ht="15" customHeight="1" x14ac:dyDescent="0.2">
      <c r="J463" s="30"/>
      <c r="K463" s="30"/>
      <c r="L463" s="30"/>
      <c r="M463" s="30"/>
      <c r="O463" s="42">
        <f>SUM(N461:N462)</f>
        <v>0</v>
      </c>
    </row>
    <row r="464" spans="10:15" ht="15" customHeight="1" x14ac:dyDescent="0.2">
      <c r="J464" s="90" t="s">
        <v>1133</v>
      </c>
      <c r="K464" s="30"/>
      <c r="L464" s="30"/>
      <c r="M464" s="30"/>
      <c r="N464" s="30"/>
    </row>
    <row r="465" spans="10:15" ht="15" customHeight="1" x14ac:dyDescent="0.2">
      <c r="J465" s="7" t="s">
        <v>1134</v>
      </c>
      <c r="K465" s="8">
        <v>0.01</v>
      </c>
      <c r="L465" s="8">
        <v>500</v>
      </c>
      <c r="M465" s="29">
        <v>6.45</v>
      </c>
      <c r="N465" s="29">
        <f>(M465*K465)/L465</f>
        <v>1.2899999999999999E-4</v>
      </c>
    </row>
    <row r="466" spans="10:15" ht="15" customHeight="1" x14ac:dyDescent="0.2">
      <c r="J466" s="8" t="s">
        <v>52</v>
      </c>
      <c r="K466" s="8">
        <f>L466/K465</f>
        <v>70000</v>
      </c>
      <c r="L466" s="8">
        <v>700</v>
      </c>
      <c r="M466" s="8"/>
      <c r="N466" s="29">
        <f>N465*K466</f>
        <v>9.0299999999999994</v>
      </c>
    </row>
    <row r="467" spans="10:15" ht="15" customHeight="1" x14ac:dyDescent="0.2">
      <c r="J467" s="7" t="s">
        <v>53</v>
      </c>
      <c r="K467" s="8">
        <f>C57</f>
        <v>0</v>
      </c>
      <c r="L467" s="8">
        <v>700</v>
      </c>
      <c r="M467" s="8"/>
      <c r="N467" s="29">
        <f>N465*K467</f>
        <v>0</v>
      </c>
    </row>
    <row r="468" spans="10:15" ht="15" customHeight="1" x14ac:dyDescent="0.2">
      <c r="J468" s="7"/>
      <c r="K468" s="8">
        <f>L468/K465</f>
        <v>0</v>
      </c>
      <c r="L468" s="8"/>
      <c r="M468" s="8"/>
      <c r="N468" s="29">
        <f>N465*K468</f>
        <v>0</v>
      </c>
    </row>
    <row r="469" spans="10:15" ht="15" customHeight="1" x14ac:dyDescent="0.2">
      <c r="J469" s="30"/>
      <c r="K469" s="30"/>
      <c r="L469" s="30"/>
      <c r="M469" s="30"/>
      <c r="O469" s="42">
        <f>SUM(N467:N468)</f>
        <v>0</v>
      </c>
    </row>
    <row r="470" spans="10:15" ht="15" customHeight="1" x14ac:dyDescent="0.2">
      <c r="J470" s="90" t="s">
        <v>1149</v>
      </c>
      <c r="K470" s="30"/>
      <c r="L470" s="30"/>
      <c r="M470" s="30"/>
      <c r="N470" s="30"/>
    </row>
    <row r="471" spans="10:15" ht="15" customHeight="1" x14ac:dyDescent="0.2">
      <c r="J471" s="7" t="s">
        <v>48</v>
      </c>
      <c r="K471" s="8">
        <v>20</v>
      </c>
      <c r="L471" s="8">
        <v>1000</v>
      </c>
      <c r="M471" s="29">
        <v>6.99</v>
      </c>
      <c r="N471" s="29">
        <f>(M471*K471)/L471</f>
        <v>0.13980000000000001</v>
      </c>
    </row>
    <row r="472" spans="10:15" ht="15" customHeight="1" x14ac:dyDescent="0.2">
      <c r="J472" s="7" t="s">
        <v>52</v>
      </c>
      <c r="K472" s="8">
        <f>L473/K471</f>
        <v>35</v>
      </c>
      <c r="L472" s="8"/>
      <c r="M472" s="29"/>
      <c r="N472" s="29">
        <f>N471*K472</f>
        <v>4.8930000000000007</v>
      </c>
    </row>
    <row r="473" spans="10:15" ht="15" customHeight="1" x14ac:dyDescent="0.2">
      <c r="J473" s="7" t="s">
        <v>53</v>
      </c>
      <c r="K473" s="8">
        <f>C59</f>
        <v>0</v>
      </c>
      <c r="L473" s="8">
        <v>700</v>
      </c>
      <c r="M473" s="8"/>
      <c r="N473" s="29">
        <f>N472*K473</f>
        <v>0</v>
      </c>
    </row>
    <row r="474" spans="10:15" ht="15" customHeight="1" x14ac:dyDescent="0.2">
      <c r="J474" s="7" t="s">
        <v>713</v>
      </c>
      <c r="K474" s="8">
        <f>L474/K471</f>
        <v>0</v>
      </c>
      <c r="L474" s="8">
        <f>F59</f>
        <v>0</v>
      </c>
      <c r="M474" s="8"/>
      <c r="N474" s="29">
        <f>N471*K474</f>
        <v>0</v>
      </c>
    </row>
    <row r="475" spans="10:15" ht="15" customHeight="1" x14ac:dyDescent="0.2">
      <c r="J475" s="30"/>
      <c r="K475" s="30"/>
      <c r="L475" s="30"/>
      <c r="M475" s="30"/>
      <c r="O475" s="42">
        <f>SUM(N473:N474)</f>
        <v>0</v>
      </c>
    </row>
    <row r="476" spans="10:15" ht="15" customHeight="1" x14ac:dyDescent="0.2">
      <c r="J476" s="90" t="s">
        <v>1026</v>
      </c>
      <c r="K476" s="30"/>
      <c r="L476" s="30"/>
      <c r="M476" s="30"/>
      <c r="N476" s="30"/>
    </row>
    <row r="477" spans="10:15" ht="15" customHeight="1" x14ac:dyDescent="0.2">
      <c r="J477" s="7" t="s">
        <v>48</v>
      </c>
      <c r="K477" s="8">
        <v>35</v>
      </c>
      <c r="L477" s="8">
        <v>1000</v>
      </c>
      <c r="M477" s="8">
        <v>14.23</v>
      </c>
      <c r="N477" s="29">
        <f>K477*M477/L477</f>
        <v>0.49804999999999999</v>
      </c>
    </row>
    <row r="478" spans="10:15" ht="15" customHeight="1" x14ac:dyDescent="0.2">
      <c r="J478" s="8" t="s">
        <v>52</v>
      </c>
      <c r="K478" s="8">
        <f>L478/K477</f>
        <v>20</v>
      </c>
      <c r="L478" s="8">
        <v>700</v>
      </c>
      <c r="M478" s="8"/>
      <c r="N478" s="29">
        <f>N477*K478</f>
        <v>9.9610000000000003</v>
      </c>
    </row>
    <row r="479" spans="10:15" ht="15" customHeight="1" x14ac:dyDescent="0.2">
      <c r="J479" s="7" t="s">
        <v>53</v>
      </c>
      <c r="K479" s="8">
        <f>C61</f>
        <v>0</v>
      </c>
      <c r="L479" s="8">
        <v>700</v>
      </c>
      <c r="M479" s="8"/>
      <c r="N479" s="29">
        <f>N477*K479</f>
        <v>0</v>
      </c>
    </row>
    <row r="480" spans="10:15" ht="15" customHeight="1" x14ac:dyDescent="0.2">
      <c r="J480" s="7" t="s">
        <v>822</v>
      </c>
      <c r="K480" s="8">
        <f>L480/K477</f>
        <v>0</v>
      </c>
      <c r="L480" s="8">
        <f>F61</f>
        <v>0</v>
      </c>
      <c r="M480" s="8"/>
      <c r="N480" s="29">
        <f>N477*K480</f>
        <v>0</v>
      </c>
    </row>
    <row r="481" spans="6:15" ht="15" customHeight="1" x14ac:dyDescent="0.2">
      <c r="F481" s="1"/>
      <c r="J481" s="30"/>
      <c r="K481" s="30"/>
      <c r="L481" s="30"/>
      <c r="M481" s="30"/>
      <c r="O481" s="42">
        <f>SUM(N479:N480)</f>
        <v>0</v>
      </c>
    </row>
    <row r="482" spans="6:15" ht="15" customHeight="1" x14ac:dyDescent="0.2">
      <c r="J482" s="90" t="s">
        <v>1152</v>
      </c>
      <c r="K482" s="30"/>
      <c r="L482" s="30"/>
      <c r="M482" s="30"/>
      <c r="N482" s="30"/>
    </row>
    <row r="483" spans="6:15" ht="15" customHeight="1" x14ac:dyDescent="0.2">
      <c r="J483" s="8" t="s">
        <v>714</v>
      </c>
      <c r="K483" s="8">
        <v>30</v>
      </c>
      <c r="L483" s="8">
        <v>1500</v>
      </c>
      <c r="M483" s="29">
        <v>28.5</v>
      </c>
      <c r="N483" s="29">
        <f>K483*M483/L483</f>
        <v>0.56999999999999995</v>
      </c>
    </row>
    <row r="484" spans="6:15" ht="15" customHeight="1" x14ac:dyDescent="0.2">
      <c r="J484" s="8" t="s">
        <v>52</v>
      </c>
      <c r="K484" s="8">
        <f>L484/K483</f>
        <v>23.333333333333332</v>
      </c>
      <c r="L484" s="8">
        <v>700</v>
      </c>
      <c r="M484" s="8"/>
      <c r="N484" s="29">
        <f>N483*K484</f>
        <v>13.299999999999999</v>
      </c>
    </row>
    <row r="485" spans="6:15" ht="15" customHeight="1" x14ac:dyDescent="0.2">
      <c r="J485" s="8" t="s">
        <v>53</v>
      </c>
      <c r="K485" s="8">
        <f>C29</f>
        <v>0</v>
      </c>
      <c r="L485" s="8">
        <v>700</v>
      </c>
      <c r="M485" s="29"/>
      <c r="N485" s="29">
        <f>(K485*N484)</f>
        <v>0</v>
      </c>
    </row>
    <row r="486" spans="6:15" ht="15" customHeight="1" x14ac:dyDescent="0.2">
      <c r="J486" s="8" t="s">
        <v>713</v>
      </c>
      <c r="K486" s="8">
        <f>L486/K483</f>
        <v>0</v>
      </c>
      <c r="L486" s="8">
        <f>F62</f>
        <v>0</v>
      </c>
      <c r="M486" s="8"/>
      <c r="N486" s="29">
        <f>N483*K486</f>
        <v>0</v>
      </c>
    </row>
    <row r="487" spans="6:15" ht="15" customHeight="1" x14ac:dyDescent="0.2">
      <c r="J487" s="30"/>
      <c r="K487" s="30"/>
      <c r="L487" s="30"/>
      <c r="M487" s="30"/>
      <c r="O487" s="42">
        <f>SUM(N485:N486)</f>
        <v>0</v>
      </c>
    </row>
    <row r="488" spans="6:15" ht="15" customHeight="1" x14ac:dyDescent="0.2">
      <c r="J488" s="90" t="s">
        <v>1177</v>
      </c>
      <c r="K488" s="30"/>
      <c r="L488" s="30"/>
      <c r="M488" s="30"/>
      <c r="N488" s="30"/>
    </row>
    <row r="489" spans="6:15" ht="15" customHeight="1" x14ac:dyDescent="0.2">
      <c r="J489" s="7" t="s">
        <v>816</v>
      </c>
      <c r="K489" s="8">
        <v>1400</v>
      </c>
      <c r="L489" s="8">
        <v>1000</v>
      </c>
      <c r="M489" s="29">
        <v>31.65</v>
      </c>
      <c r="N489" s="29">
        <f>M489*K489/L489</f>
        <v>44.31</v>
      </c>
    </row>
    <row r="490" spans="6:15" ht="15" customHeight="1" x14ac:dyDescent="0.2">
      <c r="J490" s="7" t="s">
        <v>1178</v>
      </c>
      <c r="K490" s="8">
        <v>600</v>
      </c>
      <c r="L490" s="8">
        <v>1000</v>
      </c>
      <c r="M490" s="29">
        <v>15</v>
      </c>
      <c r="N490" s="29">
        <f>M490*K490/L490</f>
        <v>9</v>
      </c>
    </row>
    <row r="491" spans="6:15" ht="15" customHeight="1" x14ac:dyDescent="0.2">
      <c r="J491" s="7" t="s">
        <v>1179</v>
      </c>
      <c r="K491" s="8">
        <v>400</v>
      </c>
      <c r="L491" s="8">
        <v>500</v>
      </c>
      <c r="M491" s="29">
        <v>5</v>
      </c>
      <c r="N491" s="29">
        <f>M491*K491/L491</f>
        <v>4</v>
      </c>
    </row>
    <row r="492" spans="6:15" ht="15" customHeight="1" x14ac:dyDescent="0.2">
      <c r="J492" s="7"/>
      <c r="K492" s="8">
        <f>SUM(K489:K491)</f>
        <v>2400</v>
      </c>
      <c r="L492" s="8"/>
      <c r="M492" s="29"/>
      <c r="N492" s="29">
        <f>SUM(N489:N491)</f>
        <v>57.31</v>
      </c>
    </row>
    <row r="493" spans="6:15" ht="15" customHeight="1" x14ac:dyDescent="0.2">
      <c r="J493" s="8" t="s">
        <v>714</v>
      </c>
      <c r="K493" s="8">
        <v>50</v>
      </c>
      <c r="L493" s="8"/>
      <c r="M493" s="29"/>
      <c r="N493" s="29">
        <f>K493*N492/K492</f>
        <v>1.1939583333333332</v>
      </c>
    </row>
    <row r="494" spans="6:15" ht="15" customHeight="1" x14ac:dyDescent="0.2">
      <c r="J494" s="8" t="s">
        <v>52</v>
      </c>
      <c r="K494" s="8">
        <f>L494/K493</f>
        <v>14</v>
      </c>
      <c r="L494" s="8">
        <v>700</v>
      </c>
      <c r="M494" s="8"/>
      <c r="N494" s="29">
        <f>N493*K494</f>
        <v>16.715416666666666</v>
      </c>
    </row>
    <row r="495" spans="6:15" ht="15" customHeight="1" x14ac:dyDescent="0.2">
      <c r="J495" s="8" t="s">
        <v>53</v>
      </c>
      <c r="K495" s="8"/>
      <c r="L495" s="8">
        <v>700</v>
      </c>
      <c r="M495" s="29"/>
      <c r="N495" s="29">
        <f>(K495*N494)</f>
        <v>0</v>
      </c>
    </row>
    <row r="496" spans="6:15" ht="15" customHeight="1" x14ac:dyDescent="0.2">
      <c r="J496" s="8" t="s">
        <v>713</v>
      </c>
      <c r="K496" s="8">
        <f>L496/K493</f>
        <v>0</v>
      </c>
      <c r="L496" s="8">
        <f>F81</f>
        <v>0</v>
      </c>
      <c r="M496" s="8"/>
      <c r="N496" s="29">
        <f>N493*K496</f>
        <v>0</v>
      </c>
    </row>
    <row r="497" spans="10:15" ht="15" customHeight="1" x14ac:dyDescent="0.2">
      <c r="J497" s="30"/>
      <c r="K497" s="30"/>
      <c r="L497" s="30"/>
      <c r="M497" s="30"/>
      <c r="O497" s="42">
        <f>SUM(N495:N496)</f>
        <v>0</v>
      </c>
    </row>
    <row r="498" spans="10:15" ht="15" customHeight="1" x14ac:dyDescent="0.2">
      <c r="J498" s="90" t="s">
        <v>102</v>
      </c>
      <c r="K498" s="30"/>
      <c r="L498" s="30"/>
      <c r="M498" s="30"/>
      <c r="N498" s="30"/>
    </row>
    <row r="499" spans="10:15" ht="15" customHeight="1" x14ac:dyDescent="0.2">
      <c r="J499" s="7" t="s">
        <v>1190</v>
      </c>
      <c r="K499" s="8">
        <v>400</v>
      </c>
      <c r="L499" s="8">
        <v>700</v>
      </c>
      <c r="M499" s="29">
        <v>14</v>
      </c>
      <c r="N499" s="29">
        <f>M499*K499/L499</f>
        <v>8</v>
      </c>
    </row>
    <row r="500" spans="10:15" ht="15" customHeight="1" x14ac:dyDescent="0.2">
      <c r="J500" s="7" t="s">
        <v>1191</v>
      </c>
      <c r="K500" s="8">
        <v>600</v>
      </c>
      <c r="L500" s="8">
        <v>700</v>
      </c>
      <c r="M500" s="29">
        <v>10.029999999999999</v>
      </c>
      <c r="N500" s="29">
        <f t="shared" ref="N500" si="31">M500*K500/L500</f>
        <v>8.5971428571428579</v>
      </c>
    </row>
    <row r="501" spans="10:15" ht="15" customHeight="1" x14ac:dyDescent="0.2">
      <c r="J501" s="8" t="s">
        <v>714</v>
      </c>
      <c r="K501" s="8">
        <v>700</v>
      </c>
      <c r="L501" s="8"/>
      <c r="M501" s="29"/>
      <c r="N501" s="29">
        <f>SUM(N499:N500)</f>
        <v>16.597142857142856</v>
      </c>
    </row>
    <row r="502" spans="10:15" ht="15" customHeight="1" x14ac:dyDescent="0.2">
      <c r="J502" s="8" t="s">
        <v>52</v>
      </c>
      <c r="K502" s="8">
        <f>L502/K501</f>
        <v>1</v>
      </c>
      <c r="L502" s="8">
        <v>700</v>
      </c>
      <c r="M502" s="8"/>
      <c r="N502" s="29">
        <f>N501*K502</f>
        <v>16.597142857142856</v>
      </c>
    </row>
    <row r="503" spans="10:15" ht="15" customHeight="1" x14ac:dyDescent="0.2">
      <c r="J503" s="8" t="s">
        <v>53</v>
      </c>
      <c r="K503" s="8">
        <f>C9</f>
        <v>0</v>
      </c>
      <c r="L503" s="8">
        <v>700</v>
      </c>
      <c r="M503" s="29"/>
      <c r="N503" s="29">
        <f>(K503*N502)</f>
        <v>0</v>
      </c>
    </row>
    <row r="504" spans="10:15" ht="15" customHeight="1" x14ac:dyDescent="0.2">
      <c r="J504" s="8" t="s">
        <v>713</v>
      </c>
      <c r="K504" s="8">
        <f>L504/K501</f>
        <v>0</v>
      </c>
      <c r="L504" s="8">
        <f>F9</f>
        <v>0</v>
      </c>
      <c r="M504" s="8"/>
      <c r="N504" s="29">
        <f>N501*K504</f>
        <v>0</v>
      </c>
    </row>
    <row r="505" spans="10:15" ht="15" customHeight="1" x14ac:dyDescent="0.2">
      <c r="J505" s="30"/>
      <c r="K505" s="30"/>
      <c r="L505" s="30"/>
      <c r="M505" s="30"/>
      <c r="O505" s="42">
        <f>SUM(N503:N504)</f>
        <v>0</v>
      </c>
    </row>
    <row r="506" spans="10:15" ht="15" customHeight="1" x14ac:dyDescent="0.2">
      <c r="J506" s="90" t="s">
        <v>814</v>
      </c>
      <c r="K506" s="30"/>
      <c r="L506" s="30"/>
      <c r="M506" s="30"/>
      <c r="N506" s="30"/>
    </row>
    <row r="507" spans="10:15" ht="15" customHeight="1" x14ac:dyDescent="0.2">
      <c r="J507" s="7" t="s">
        <v>1165</v>
      </c>
      <c r="K507" s="8">
        <v>250</v>
      </c>
      <c r="L507" s="8">
        <v>700</v>
      </c>
      <c r="M507" s="8">
        <v>18.79</v>
      </c>
      <c r="N507" s="29">
        <f>M507*K507/L507</f>
        <v>6.7107142857142854</v>
      </c>
    </row>
    <row r="508" spans="10:15" ht="15" customHeight="1" x14ac:dyDescent="0.2">
      <c r="J508" s="7" t="s">
        <v>1166</v>
      </c>
      <c r="K508" s="8">
        <v>250</v>
      </c>
      <c r="L508" s="8">
        <v>700</v>
      </c>
      <c r="M508" s="8">
        <v>13.81</v>
      </c>
      <c r="N508" s="29">
        <f t="shared" ref="N508:N509" si="32">M508*K508/L508</f>
        <v>4.9321428571428569</v>
      </c>
    </row>
    <row r="509" spans="10:15" ht="15" customHeight="1" x14ac:dyDescent="0.2">
      <c r="J509" s="7" t="s">
        <v>1167</v>
      </c>
      <c r="K509" s="8">
        <v>500</v>
      </c>
      <c r="L509" s="8">
        <v>700</v>
      </c>
      <c r="M509" s="8">
        <v>7.5</v>
      </c>
      <c r="N509" s="29">
        <f t="shared" si="32"/>
        <v>5.3571428571428568</v>
      </c>
    </row>
    <row r="510" spans="10:15" ht="15" customHeight="1" x14ac:dyDescent="0.2">
      <c r="J510" s="8" t="s">
        <v>714</v>
      </c>
      <c r="K510" s="8">
        <f>SUM(K507:K509)</f>
        <v>1000</v>
      </c>
      <c r="L510" s="8"/>
      <c r="M510" s="29"/>
      <c r="N510" s="29">
        <f>SUM(N507:N509)</f>
        <v>17</v>
      </c>
    </row>
    <row r="511" spans="10:15" ht="15" customHeight="1" x14ac:dyDescent="0.2">
      <c r="J511" s="8" t="s">
        <v>52</v>
      </c>
      <c r="K511" s="8">
        <f>L511/K510</f>
        <v>0.7</v>
      </c>
      <c r="L511" s="8">
        <v>700</v>
      </c>
      <c r="M511" s="8"/>
      <c r="N511" s="29">
        <f>N510*K511</f>
        <v>11.899999999999999</v>
      </c>
    </row>
    <row r="512" spans="10:15" ht="15" customHeight="1" x14ac:dyDescent="0.2">
      <c r="J512" s="8" t="s">
        <v>53</v>
      </c>
      <c r="K512" s="8"/>
      <c r="L512" s="8">
        <v>700</v>
      </c>
      <c r="M512" s="29"/>
      <c r="N512" s="29">
        <f>(K512*N511)</f>
        <v>0</v>
      </c>
    </row>
    <row r="513" spans="10:15" ht="15" customHeight="1" x14ac:dyDescent="0.2">
      <c r="J513" s="8" t="s">
        <v>713</v>
      </c>
      <c r="K513" s="8">
        <f>L513/K510</f>
        <v>0</v>
      </c>
      <c r="L513" s="8">
        <f>F76</f>
        <v>0</v>
      </c>
      <c r="M513" s="8"/>
      <c r="N513" s="29">
        <f>N510*K513</f>
        <v>0</v>
      </c>
    </row>
    <row r="514" spans="10:15" ht="15" customHeight="1" x14ac:dyDescent="0.2">
      <c r="J514" s="30"/>
      <c r="K514" s="30"/>
      <c r="L514" s="30"/>
      <c r="M514" s="30"/>
      <c r="O514" s="42">
        <f>SUM(N512:N513)</f>
        <v>0</v>
      </c>
    </row>
    <row r="515" spans="10:15" ht="15" customHeight="1" x14ac:dyDescent="0.2">
      <c r="J515" s="90" t="s">
        <v>816</v>
      </c>
      <c r="K515" s="30"/>
      <c r="L515" s="30"/>
      <c r="M515" s="30"/>
      <c r="N515" s="30"/>
    </row>
    <row r="516" spans="10:15" ht="15" customHeight="1" x14ac:dyDescent="0.2">
      <c r="J516" s="7" t="s">
        <v>1162</v>
      </c>
      <c r="K516" s="8">
        <v>200</v>
      </c>
      <c r="L516" s="8">
        <v>700</v>
      </c>
      <c r="M516" s="29">
        <v>56.84</v>
      </c>
      <c r="N516" s="29">
        <f>M516*K516/L516</f>
        <v>16.239999999999998</v>
      </c>
    </row>
    <row r="517" spans="10:15" ht="15" customHeight="1" x14ac:dyDescent="0.2">
      <c r="J517" s="7" t="s">
        <v>1315</v>
      </c>
      <c r="K517" s="8">
        <v>800</v>
      </c>
      <c r="L517" s="8">
        <v>700</v>
      </c>
      <c r="M517" s="29">
        <v>21.92</v>
      </c>
      <c r="N517" s="29">
        <f t="shared" ref="N517" si="33">M517*K517/L517</f>
        <v>25.05142857142857</v>
      </c>
    </row>
    <row r="518" spans="10:15" ht="15" customHeight="1" x14ac:dyDescent="0.2">
      <c r="J518" s="8" t="s">
        <v>714</v>
      </c>
      <c r="K518" s="8">
        <f>SUM(K516:K517)</f>
        <v>1000</v>
      </c>
      <c r="L518" s="8"/>
      <c r="M518" s="29"/>
      <c r="N518" s="29">
        <f>SUM(N516:N517)</f>
        <v>41.291428571428568</v>
      </c>
    </row>
    <row r="519" spans="10:15" ht="15" customHeight="1" x14ac:dyDescent="0.2">
      <c r="J519" s="8" t="s">
        <v>52</v>
      </c>
      <c r="K519" s="8">
        <f>L519/K518</f>
        <v>0.7</v>
      </c>
      <c r="L519" s="8">
        <v>700</v>
      </c>
      <c r="M519" s="8"/>
      <c r="N519" s="29">
        <f>N518*K519</f>
        <v>28.903999999999996</v>
      </c>
    </row>
    <row r="520" spans="10:15" ht="15" customHeight="1" x14ac:dyDescent="0.2">
      <c r="J520" s="8" t="s">
        <v>53</v>
      </c>
      <c r="K520" s="8">
        <f>C77</f>
        <v>0</v>
      </c>
      <c r="L520" s="8">
        <v>700</v>
      </c>
      <c r="M520" s="29"/>
      <c r="N520" s="29">
        <f>(K520*N519)</f>
        <v>0</v>
      </c>
    </row>
    <row r="521" spans="10:15" ht="15" customHeight="1" x14ac:dyDescent="0.2">
      <c r="J521" s="8" t="s">
        <v>713</v>
      </c>
      <c r="K521" s="8">
        <f>L521/K518</f>
        <v>0</v>
      </c>
      <c r="L521" s="8">
        <f>F77</f>
        <v>0</v>
      </c>
      <c r="M521" s="8"/>
      <c r="N521" s="29">
        <f>N518*K521</f>
        <v>0</v>
      </c>
    </row>
    <row r="522" spans="10:15" ht="15" customHeight="1" x14ac:dyDescent="0.2">
      <c r="J522" s="30"/>
      <c r="K522" s="30"/>
      <c r="L522" s="30"/>
      <c r="M522" s="30"/>
      <c r="O522" s="42">
        <f>SUM(N520:N521)</f>
        <v>0</v>
      </c>
    </row>
    <row r="523" spans="10:15" ht="15" customHeight="1" x14ac:dyDescent="0.2">
      <c r="J523" s="90" t="s">
        <v>817</v>
      </c>
      <c r="K523" s="30"/>
      <c r="L523" s="30"/>
      <c r="M523" s="30"/>
      <c r="N523" s="30"/>
    </row>
    <row r="524" spans="10:15" ht="15" customHeight="1" x14ac:dyDescent="0.2">
      <c r="J524" s="7" t="s">
        <v>1163</v>
      </c>
      <c r="K524" s="8">
        <v>250</v>
      </c>
      <c r="L524" s="8">
        <v>700</v>
      </c>
      <c r="M524" s="29">
        <v>37.119999999999997</v>
      </c>
      <c r="N524" s="29">
        <f>M524*K524/L524</f>
        <v>13.257142857142858</v>
      </c>
    </row>
    <row r="525" spans="10:15" ht="15" customHeight="1" x14ac:dyDescent="0.2">
      <c r="J525" s="7" t="s">
        <v>1164</v>
      </c>
      <c r="K525" s="8">
        <v>750</v>
      </c>
      <c r="L525" s="8">
        <v>700</v>
      </c>
      <c r="M525" s="29">
        <v>7.5</v>
      </c>
      <c r="N525" s="29">
        <f t="shared" ref="N525" si="34">M525*K525/L525</f>
        <v>8.0357142857142865</v>
      </c>
    </row>
    <row r="526" spans="10:15" ht="15" customHeight="1" x14ac:dyDescent="0.2">
      <c r="J526" s="8" t="s">
        <v>714</v>
      </c>
      <c r="K526" s="8">
        <f>SUM(K524:K525)</f>
        <v>1000</v>
      </c>
      <c r="L526" s="8"/>
      <c r="M526" s="29"/>
      <c r="N526" s="29">
        <f>SUM(N524:N525)</f>
        <v>21.292857142857144</v>
      </c>
    </row>
    <row r="527" spans="10:15" ht="15" customHeight="1" x14ac:dyDescent="0.2">
      <c r="J527" s="8" t="s">
        <v>52</v>
      </c>
      <c r="K527" s="8">
        <f>L527/K526</f>
        <v>0.7</v>
      </c>
      <c r="L527" s="8">
        <v>700</v>
      </c>
      <c r="M527" s="8"/>
      <c r="N527" s="29">
        <f>N526*K527</f>
        <v>14.904999999999999</v>
      </c>
    </row>
    <row r="528" spans="10:15" ht="15" customHeight="1" x14ac:dyDescent="0.2">
      <c r="J528" s="8" t="s">
        <v>53</v>
      </c>
      <c r="K528" s="8"/>
      <c r="L528" s="8">
        <v>700</v>
      </c>
      <c r="M528" s="29"/>
      <c r="N528" s="29">
        <f>(K528*N527)</f>
        <v>0</v>
      </c>
    </row>
    <row r="529" spans="10:15" ht="15" customHeight="1" x14ac:dyDescent="0.2">
      <c r="J529" s="8" t="s">
        <v>713</v>
      </c>
      <c r="K529" s="8">
        <f>L529/K526</f>
        <v>0</v>
      </c>
      <c r="L529" s="8">
        <f>F78</f>
        <v>0</v>
      </c>
      <c r="M529" s="8"/>
      <c r="N529" s="29">
        <f>N526*K529</f>
        <v>0</v>
      </c>
    </row>
    <row r="530" spans="10:15" ht="15" customHeight="1" x14ac:dyDescent="0.2">
      <c r="J530" s="30"/>
      <c r="K530" s="30"/>
      <c r="L530" s="30"/>
      <c r="M530" s="30"/>
      <c r="O530" s="42">
        <f>SUM(N528:N529)</f>
        <v>0</v>
      </c>
    </row>
    <row r="531" spans="10:15" ht="15" customHeight="1" x14ac:dyDescent="0.2">
      <c r="J531" s="90" t="s">
        <v>1153</v>
      </c>
      <c r="K531" s="30"/>
      <c r="L531" s="30"/>
      <c r="M531" s="30"/>
      <c r="N531" s="30"/>
    </row>
    <row r="532" spans="10:15" ht="15" customHeight="1" x14ac:dyDescent="0.2">
      <c r="J532" s="7" t="s">
        <v>48</v>
      </c>
      <c r="K532" s="8">
        <v>35</v>
      </c>
      <c r="L532" s="8">
        <v>1000</v>
      </c>
      <c r="M532" s="29">
        <v>3.66</v>
      </c>
      <c r="N532" s="29">
        <f>(M532*K532)/L532</f>
        <v>0.12809999999999999</v>
      </c>
    </row>
    <row r="533" spans="10:15" ht="15" customHeight="1" x14ac:dyDescent="0.2">
      <c r="J533" s="7" t="s">
        <v>52</v>
      </c>
      <c r="K533" s="8">
        <f>L534/K532</f>
        <v>20</v>
      </c>
      <c r="L533" s="8"/>
      <c r="M533" s="29"/>
      <c r="N533" s="29">
        <f>N532*K533</f>
        <v>2.5619999999999998</v>
      </c>
    </row>
    <row r="534" spans="10:15" ht="15" customHeight="1" x14ac:dyDescent="0.2">
      <c r="J534" s="7" t="s">
        <v>53</v>
      </c>
      <c r="K534" s="8">
        <f>C64</f>
        <v>0</v>
      </c>
      <c r="L534" s="8">
        <v>700</v>
      </c>
      <c r="M534" s="8"/>
      <c r="N534" s="29">
        <f>N533*K534</f>
        <v>0</v>
      </c>
    </row>
    <row r="535" spans="10:15" ht="15" customHeight="1" x14ac:dyDescent="0.2">
      <c r="J535" s="7" t="s">
        <v>713</v>
      </c>
      <c r="K535" s="8">
        <f>L535/K532</f>
        <v>0</v>
      </c>
      <c r="L535" s="8">
        <f>F64</f>
        <v>0</v>
      </c>
      <c r="M535" s="8"/>
      <c r="N535" s="29">
        <f>N532*K535</f>
        <v>0</v>
      </c>
    </row>
    <row r="536" spans="10:15" ht="15" customHeight="1" x14ac:dyDescent="0.2">
      <c r="J536" s="30"/>
      <c r="K536" s="30"/>
      <c r="L536" s="30"/>
      <c r="M536" s="30"/>
      <c r="O536" s="42">
        <f>SUM(N534:N535)</f>
        <v>0</v>
      </c>
    </row>
    <row r="537" spans="10:15" ht="15" customHeight="1" x14ac:dyDescent="0.2">
      <c r="J537" s="90" t="s">
        <v>1094</v>
      </c>
      <c r="K537" s="30"/>
      <c r="L537" s="30"/>
      <c r="M537" s="30"/>
      <c r="N537" s="30"/>
    </row>
    <row r="538" spans="10:15" ht="15" customHeight="1" x14ac:dyDescent="0.2">
      <c r="J538" s="7" t="s">
        <v>48</v>
      </c>
      <c r="K538" s="8">
        <v>8.1</v>
      </c>
      <c r="L538" s="8">
        <v>1000</v>
      </c>
      <c r="M538" s="29">
        <v>40.47</v>
      </c>
      <c r="N538" s="29">
        <f>(M538*K538)/L538</f>
        <v>0.32780699999999996</v>
      </c>
    </row>
    <row r="539" spans="10:15" ht="15" customHeight="1" x14ac:dyDescent="0.2">
      <c r="J539" s="7" t="s">
        <v>52</v>
      </c>
      <c r="K539" s="8">
        <f>L540/K538</f>
        <v>86.41975308641976</v>
      </c>
      <c r="L539" s="8"/>
      <c r="M539" s="29"/>
      <c r="N539" s="29">
        <f>N538*K539</f>
        <v>28.329000000000001</v>
      </c>
    </row>
    <row r="540" spans="10:15" ht="15" customHeight="1" x14ac:dyDescent="0.2">
      <c r="J540" s="7" t="s">
        <v>53</v>
      </c>
      <c r="K540" s="8">
        <f>C65</f>
        <v>0</v>
      </c>
      <c r="L540" s="8">
        <v>700</v>
      </c>
      <c r="M540" s="8"/>
      <c r="N540" s="29">
        <f>N539*K540</f>
        <v>0</v>
      </c>
    </row>
    <row r="541" spans="10:15" ht="15" customHeight="1" x14ac:dyDescent="0.2">
      <c r="J541" s="7" t="s">
        <v>713</v>
      </c>
      <c r="K541" s="8">
        <f>L541/K538</f>
        <v>0</v>
      </c>
      <c r="L541" s="8">
        <f>F65</f>
        <v>0</v>
      </c>
      <c r="M541" s="8"/>
      <c r="N541" s="29">
        <f>N538*K541</f>
        <v>0</v>
      </c>
    </row>
    <row r="542" spans="10:15" ht="15" customHeight="1" x14ac:dyDescent="0.2">
      <c r="J542" s="30"/>
      <c r="K542" s="30"/>
      <c r="L542" s="30"/>
      <c r="M542" s="30"/>
      <c r="O542" s="42">
        <f>SUM(N540:N541)</f>
        <v>0</v>
      </c>
    </row>
    <row r="543" spans="10:15" ht="15" customHeight="1" x14ac:dyDescent="0.2">
      <c r="J543" s="90" t="s">
        <v>1155</v>
      </c>
      <c r="K543" s="30"/>
      <c r="L543" s="30"/>
      <c r="M543" s="30"/>
      <c r="N543" s="30"/>
    </row>
    <row r="544" spans="10:15" ht="15" customHeight="1" x14ac:dyDescent="0.2">
      <c r="J544" s="7" t="s">
        <v>1157</v>
      </c>
      <c r="K544" s="11">
        <v>500</v>
      </c>
      <c r="L544" s="11">
        <v>700</v>
      </c>
      <c r="M544" s="12">
        <v>14.9</v>
      </c>
      <c r="N544" s="29">
        <f t="shared" ref="N544" si="35">M544*K544/L544</f>
        <v>10.642857142857142</v>
      </c>
    </row>
    <row r="545" spans="10:15" ht="15" customHeight="1" x14ac:dyDescent="0.2">
      <c r="J545" s="7" t="s">
        <v>1158</v>
      </c>
      <c r="K545" s="11">
        <v>5</v>
      </c>
      <c r="L545" s="11">
        <v>1000</v>
      </c>
      <c r="M545" s="12">
        <v>60</v>
      </c>
      <c r="N545" s="29">
        <f t="shared" ref="N545" si="36">M545*K545/L545</f>
        <v>0.3</v>
      </c>
    </row>
    <row r="546" spans="10:15" ht="15" customHeight="1" x14ac:dyDescent="0.2">
      <c r="J546" s="8" t="s">
        <v>714</v>
      </c>
      <c r="K546" s="8">
        <v>25</v>
      </c>
      <c r="L546" s="8"/>
      <c r="M546" s="200"/>
      <c r="N546" s="29">
        <f>SUM(N544:N545)</f>
        <v>10.942857142857143</v>
      </c>
    </row>
    <row r="547" spans="10:15" ht="15" customHeight="1" x14ac:dyDescent="0.2">
      <c r="J547" s="8" t="s">
        <v>52</v>
      </c>
      <c r="K547" s="8">
        <f>L547/K546</f>
        <v>28</v>
      </c>
      <c r="L547" s="8">
        <v>700</v>
      </c>
      <c r="M547" s="8"/>
      <c r="N547" s="29">
        <f>N546*K547</f>
        <v>306.39999999999998</v>
      </c>
    </row>
    <row r="548" spans="10:15" ht="15" customHeight="1" x14ac:dyDescent="0.2">
      <c r="J548" s="8" t="s">
        <v>53</v>
      </c>
      <c r="K548" s="8">
        <f>C66</f>
        <v>0</v>
      </c>
      <c r="L548" s="8">
        <v>700</v>
      </c>
      <c r="M548" s="29"/>
      <c r="N548" s="29">
        <f>(K548*N547)</f>
        <v>0</v>
      </c>
    </row>
    <row r="549" spans="10:15" ht="15" customHeight="1" x14ac:dyDescent="0.2">
      <c r="J549" s="8" t="s">
        <v>713</v>
      </c>
      <c r="K549" s="8">
        <f>L549/K546</f>
        <v>0</v>
      </c>
      <c r="L549" s="8">
        <f>F66</f>
        <v>0</v>
      </c>
      <c r="M549" s="8"/>
      <c r="N549" s="29">
        <f>N546*K549</f>
        <v>0</v>
      </c>
    </row>
    <row r="550" spans="10:15" ht="15" customHeight="1" x14ac:dyDescent="0.2">
      <c r="J550" s="30"/>
      <c r="K550" s="30"/>
      <c r="L550" s="30"/>
      <c r="M550" s="30"/>
      <c r="O550" s="42">
        <f>SUM(N548:N549)</f>
        <v>0</v>
      </c>
    </row>
    <row r="551" spans="10:15" ht="15" customHeight="1" x14ac:dyDescent="0.2">
      <c r="J551" s="90" t="s">
        <v>845</v>
      </c>
      <c r="K551" s="30"/>
      <c r="L551" s="30"/>
      <c r="M551" s="30"/>
      <c r="N551" s="30"/>
    </row>
    <row r="552" spans="10:15" ht="15" customHeight="1" x14ac:dyDescent="0.2">
      <c r="J552" s="7" t="s">
        <v>112</v>
      </c>
      <c r="K552" s="11">
        <v>50</v>
      </c>
      <c r="L552" s="11">
        <v>700</v>
      </c>
      <c r="M552" s="12">
        <v>6.9</v>
      </c>
      <c r="N552" s="29">
        <f>M552*K552/L552</f>
        <v>0.49285714285714288</v>
      </c>
    </row>
    <row r="553" spans="10:15" ht="15" customHeight="1" x14ac:dyDescent="0.2">
      <c r="J553" s="7" t="s">
        <v>846</v>
      </c>
      <c r="K553" s="11">
        <v>25</v>
      </c>
      <c r="L553" s="11">
        <v>700</v>
      </c>
      <c r="M553" s="12">
        <v>12.72</v>
      </c>
      <c r="N553" s="29">
        <f t="shared" ref="N553:N556" si="37">M553*K553/L553</f>
        <v>0.45428571428571429</v>
      </c>
    </row>
    <row r="554" spans="10:15" ht="15" customHeight="1" x14ac:dyDescent="0.2">
      <c r="J554" s="7" t="s">
        <v>847</v>
      </c>
      <c r="K554" s="11">
        <v>50</v>
      </c>
      <c r="L554" s="11">
        <v>1000</v>
      </c>
      <c r="M554" s="12">
        <v>1.44</v>
      </c>
      <c r="N554" s="29">
        <f t="shared" si="37"/>
        <v>7.1999999999999995E-2</v>
      </c>
    </row>
    <row r="555" spans="10:15" ht="15" customHeight="1" x14ac:dyDescent="0.2">
      <c r="J555" s="7" t="s">
        <v>58</v>
      </c>
      <c r="K555" s="11">
        <v>15</v>
      </c>
      <c r="L555" s="11">
        <v>1000</v>
      </c>
      <c r="M555" s="12">
        <v>2.62</v>
      </c>
      <c r="N555" s="29">
        <f t="shared" si="37"/>
        <v>3.9300000000000002E-2</v>
      </c>
    </row>
    <row r="556" spans="10:15" ht="15" customHeight="1" x14ac:dyDescent="0.2">
      <c r="J556" s="7" t="s">
        <v>588</v>
      </c>
      <c r="K556" s="11">
        <v>28</v>
      </c>
      <c r="L556" s="11">
        <v>1000</v>
      </c>
      <c r="M556" s="12">
        <v>0</v>
      </c>
      <c r="N556" s="29">
        <f t="shared" si="37"/>
        <v>0</v>
      </c>
    </row>
    <row r="557" spans="10:15" ht="15" customHeight="1" x14ac:dyDescent="0.2">
      <c r="J557" s="8" t="s">
        <v>714</v>
      </c>
      <c r="K557" s="8">
        <f>SUM(K552:K556)</f>
        <v>168</v>
      </c>
      <c r="L557" s="8"/>
      <c r="M557" s="200"/>
      <c r="N557" s="29">
        <f>SUM(N552:N556)</f>
        <v>1.058442857142857</v>
      </c>
    </row>
    <row r="558" spans="10:15" ht="15" customHeight="1" x14ac:dyDescent="0.2">
      <c r="J558" s="8" t="s">
        <v>52</v>
      </c>
      <c r="K558" s="8">
        <f>L558/K557</f>
        <v>4.166666666666667</v>
      </c>
      <c r="L558" s="8">
        <v>700</v>
      </c>
      <c r="M558" s="8"/>
      <c r="N558" s="29">
        <f>N557*K558</f>
        <v>4.4101785714285713</v>
      </c>
    </row>
    <row r="559" spans="10:15" ht="15" customHeight="1" x14ac:dyDescent="0.2">
      <c r="J559" s="8" t="s">
        <v>53</v>
      </c>
      <c r="K559" s="8">
        <f>C75</f>
        <v>0.8</v>
      </c>
      <c r="L559" s="8">
        <v>700</v>
      </c>
      <c r="M559" s="29"/>
      <c r="N559" s="29">
        <f>(K559*N558)</f>
        <v>3.528142857142857</v>
      </c>
    </row>
    <row r="560" spans="10:15" ht="15" customHeight="1" x14ac:dyDescent="0.2">
      <c r="J560" s="8" t="s">
        <v>822</v>
      </c>
      <c r="K560" s="8">
        <f>L560/K557</f>
        <v>0</v>
      </c>
      <c r="L560" s="8">
        <f>F75</f>
        <v>0</v>
      </c>
      <c r="M560" s="8"/>
      <c r="N560" s="29">
        <f>N557*K560</f>
        <v>0</v>
      </c>
    </row>
    <row r="561" spans="10:15" ht="15" customHeight="1" x14ac:dyDescent="0.2">
      <c r="J561" s="30"/>
      <c r="K561" s="30"/>
      <c r="L561" s="30"/>
      <c r="M561" s="30"/>
      <c r="O561" s="42">
        <f>SUM(N559:N560)</f>
        <v>3.528142857142857</v>
      </c>
    </row>
    <row r="562" spans="10:15" ht="15" customHeight="1" x14ac:dyDescent="0.2">
      <c r="J562" s="90" t="s">
        <v>1159</v>
      </c>
      <c r="K562" s="30"/>
      <c r="L562" s="30"/>
      <c r="M562" s="30"/>
      <c r="N562" s="30"/>
    </row>
    <row r="563" spans="10:15" ht="15" customHeight="1" x14ac:dyDescent="0.2">
      <c r="J563" s="7" t="s">
        <v>1159</v>
      </c>
      <c r="K563" s="11">
        <v>750</v>
      </c>
      <c r="L563" s="11">
        <v>750</v>
      </c>
      <c r="M563" s="12">
        <v>5</v>
      </c>
      <c r="N563" s="29">
        <f t="shared" ref="N563" si="38">M563*K563/L563</f>
        <v>5</v>
      </c>
    </row>
    <row r="564" spans="10:15" ht="15" customHeight="1" x14ac:dyDescent="0.2">
      <c r="J564" s="8" t="s">
        <v>52</v>
      </c>
      <c r="K564" s="8">
        <f>L564/K563</f>
        <v>0.93333333333333335</v>
      </c>
      <c r="L564" s="8">
        <v>700</v>
      </c>
      <c r="M564" s="8"/>
      <c r="N564" s="29">
        <f>N563*K564</f>
        <v>4.666666666666667</v>
      </c>
    </row>
    <row r="565" spans="10:15" ht="15" customHeight="1" x14ac:dyDescent="0.2">
      <c r="J565" s="8" t="s">
        <v>53</v>
      </c>
      <c r="K565" s="8">
        <f>C67</f>
        <v>0</v>
      </c>
      <c r="L565" s="8">
        <v>700</v>
      </c>
      <c r="M565" s="29"/>
      <c r="N565" s="29">
        <f>(K565*N564)</f>
        <v>0</v>
      </c>
    </row>
    <row r="566" spans="10:15" ht="15" customHeight="1" x14ac:dyDescent="0.2">
      <c r="J566" s="8" t="s">
        <v>713</v>
      </c>
      <c r="K566" s="8">
        <f>L566/K564</f>
        <v>0</v>
      </c>
      <c r="L566" s="8">
        <f>F67</f>
        <v>0</v>
      </c>
      <c r="M566" s="8"/>
      <c r="N566" s="29">
        <f>N563*K566</f>
        <v>0</v>
      </c>
    </row>
    <row r="567" spans="10:15" ht="15" customHeight="1" x14ac:dyDescent="0.2">
      <c r="J567" s="30"/>
      <c r="K567" s="30"/>
      <c r="L567" s="30"/>
      <c r="M567" s="30"/>
      <c r="O567" s="42">
        <f>SUM(N565:N566)</f>
        <v>0</v>
      </c>
    </row>
    <row r="568" spans="10:15" ht="15" customHeight="1" x14ac:dyDescent="0.2">
      <c r="J568" s="90" t="s">
        <v>1080</v>
      </c>
      <c r="K568" s="30"/>
      <c r="L568" s="30"/>
      <c r="M568" s="30"/>
      <c r="N568" s="30"/>
    </row>
    <row r="569" spans="10:15" ht="15" customHeight="1" x14ac:dyDescent="0.25">
      <c r="J569" s="201" t="s">
        <v>1159</v>
      </c>
      <c r="K569" s="202">
        <v>600</v>
      </c>
      <c r="L569" s="11">
        <v>750</v>
      </c>
      <c r="M569" s="12">
        <v>5</v>
      </c>
      <c r="N569" s="29">
        <f>M569*K569/L569</f>
        <v>4</v>
      </c>
    </row>
    <row r="570" spans="10:15" ht="15" customHeight="1" x14ac:dyDescent="0.25">
      <c r="J570" s="201" t="s">
        <v>1160</v>
      </c>
      <c r="K570" s="202">
        <v>10</v>
      </c>
      <c r="L570" s="11">
        <v>100</v>
      </c>
      <c r="M570" s="12">
        <v>1.82</v>
      </c>
      <c r="N570" s="29">
        <f t="shared" ref="N570:N572" si="39">M570*K570/L570</f>
        <v>0.182</v>
      </c>
    </row>
    <row r="571" spans="10:15" ht="15" customHeight="1" x14ac:dyDescent="0.25">
      <c r="J571" s="201" t="s">
        <v>1161</v>
      </c>
      <c r="K571" s="202">
        <v>5</v>
      </c>
      <c r="L571" s="11">
        <v>100</v>
      </c>
      <c r="M571" s="12">
        <v>5.6</v>
      </c>
      <c r="N571" s="29">
        <f t="shared" si="39"/>
        <v>0.28000000000000003</v>
      </c>
    </row>
    <row r="572" spans="10:15" ht="15" customHeight="1" x14ac:dyDescent="0.2">
      <c r="J572" s="7" t="s">
        <v>593</v>
      </c>
      <c r="K572" s="11">
        <v>300</v>
      </c>
      <c r="L572" s="11">
        <v>1000</v>
      </c>
      <c r="M572" s="12">
        <v>1.27</v>
      </c>
      <c r="N572" s="29">
        <f t="shared" si="39"/>
        <v>0.38100000000000001</v>
      </c>
    </row>
    <row r="573" spans="10:15" ht="15" customHeight="1" x14ac:dyDescent="0.2">
      <c r="J573" s="8" t="s">
        <v>714</v>
      </c>
      <c r="K573" s="8">
        <f>SUM(K569:K572)</f>
        <v>915</v>
      </c>
      <c r="L573" s="8"/>
      <c r="M573" s="200"/>
      <c r="N573" s="29">
        <f>SUM(N569:N572)</f>
        <v>4.8430000000000009</v>
      </c>
    </row>
    <row r="574" spans="10:15" ht="15" customHeight="1" x14ac:dyDescent="0.2">
      <c r="J574" s="8" t="s">
        <v>52</v>
      </c>
      <c r="K574" s="8">
        <f>L574/K573</f>
        <v>0.76502732240437155</v>
      </c>
      <c r="L574" s="8">
        <v>700</v>
      </c>
      <c r="M574" s="8"/>
      <c r="N574" s="29">
        <f>N573*K574</f>
        <v>3.7050273224043719</v>
      </c>
    </row>
    <row r="575" spans="10:15" ht="15" customHeight="1" x14ac:dyDescent="0.2">
      <c r="J575" s="8" t="s">
        <v>53</v>
      </c>
      <c r="K575" s="8"/>
      <c r="L575" s="8">
        <v>700</v>
      </c>
      <c r="M575" s="29"/>
      <c r="N575" s="29">
        <f>(K575*N574)</f>
        <v>0</v>
      </c>
    </row>
    <row r="576" spans="10:15" ht="15" customHeight="1" x14ac:dyDescent="0.2">
      <c r="J576" s="8" t="s">
        <v>713</v>
      </c>
      <c r="K576" s="8">
        <f>L576/K573</f>
        <v>0</v>
      </c>
      <c r="L576" s="8">
        <f>F80</f>
        <v>0</v>
      </c>
      <c r="M576" s="8"/>
      <c r="N576" s="29">
        <f>N573*K576</f>
        <v>0</v>
      </c>
    </row>
    <row r="577" spans="10:15" ht="15" customHeight="1" x14ac:dyDescent="0.2">
      <c r="J577" s="30"/>
      <c r="K577" s="30"/>
      <c r="L577" s="30"/>
      <c r="M577" s="30"/>
      <c r="O577" s="42">
        <f>SUM(N575:N576)</f>
        <v>0</v>
      </c>
    </row>
    <row r="578" spans="10:15" ht="15" customHeight="1" x14ac:dyDescent="0.2">
      <c r="J578" s="90" t="s">
        <v>1168</v>
      </c>
      <c r="K578" s="30"/>
      <c r="L578" s="30"/>
      <c r="M578" s="30"/>
      <c r="N578" s="30"/>
    </row>
    <row r="579" spans="10:15" ht="15" customHeight="1" x14ac:dyDescent="0.25">
      <c r="J579" s="201" t="s">
        <v>102</v>
      </c>
      <c r="K579" s="202">
        <v>700</v>
      </c>
      <c r="L579" s="11">
        <v>1000</v>
      </c>
      <c r="M579" s="12">
        <v>27.15</v>
      </c>
      <c r="N579" s="29">
        <f>M579*K579/L579</f>
        <v>19.004999999999999</v>
      </c>
    </row>
    <row r="580" spans="10:15" ht="15" customHeight="1" x14ac:dyDescent="0.25">
      <c r="J580" s="201" t="s">
        <v>1169</v>
      </c>
      <c r="K580" s="202">
        <v>170</v>
      </c>
      <c r="L580" s="11">
        <v>1000</v>
      </c>
      <c r="M580" s="12">
        <v>15</v>
      </c>
      <c r="N580" s="29">
        <f t="shared" ref="N580:N582" si="40">M580*K580/L580</f>
        <v>2.5499999999999998</v>
      </c>
    </row>
    <row r="581" spans="10:15" ht="15" customHeight="1" x14ac:dyDescent="0.25">
      <c r="J581" s="201" t="s">
        <v>1170</v>
      </c>
      <c r="K581" s="202">
        <v>2</v>
      </c>
      <c r="L581" s="11">
        <v>50</v>
      </c>
      <c r="M581" s="12">
        <v>4</v>
      </c>
      <c r="N581" s="29">
        <f t="shared" si="40"/>
        <v>0.16</v>
      </c>
    </row>
    <row r="582" spans="10:15" ht="15" customHeight="1" x14ac:dyDescent="0.2">
      <c r="J582" s="7" t="s">
        <v>1171</v>
      </c>
      <c r="K582" s="11">
        <v>4</v>
      </c>
      <c r="L582" s="11">
        <v>50</v>
      </c>
      <c r="M582" s="12">
        <v>4</v>
      </c>
      <c r="N582" s="29">
        <f t="shared" si="40"/>
        <v>0.32</v>
      </c>
    </row>
    <row r="583" spans="10:15" ht="15" customHeight="1" x14ac:dyDescent="0.2">
      <c r="J583" s="7"/>
      <c r="K583" s="11">
        <f>SUM(K579:K582)</f>
        <v>876</v>
      </c>
      <c r="L583" s="11"/>
      <c r="M583" s="12"/>
      <c r="N583" s="29">
        <f>SUM(N579:N582)</f>
        <v>22.035</v>
      </c>
    </row>
    <row r="584" spans="10:15" ht="15" customHeight="1" x14ac:dyDescent="0.2">
      <c r="J584" s="8" t="s">
        <v>714</v>
      </c>
      <c r="K584" s="8">
        <v>50</v>
      </c>
      <c r="L584" s="8"/>
      <c r="M584" s="200"/>
      <c r="N584" s="215">
        <f>K584/N583</f>
        <v>2.269117313365101</v>
      </c>
    </row>
    <row r="585" spans="10:15" ht="15" customHeight="1" x14ac:dyDescent="0.2">
      <c r="J585" s="8" t="s">
        <v>52</v>
      </c>
      <c r="K585" s="8">
        <f>L585/K584</f>
        <v>14</v>
      </c>
      <c r="L585" s="8">
        <v>700</v>
      </c>
      <c r="M585" s="8"/>
      <c r="N585" s="29">
        <f>N584*K585</f>
        <v>31.767642387111415</v>
      </c>
    </row>
    <row r="586" spans="10:15" ht="15" customHeight="1" x14ac:dyDescent="0.2">
      <c r="J586" s="8" t="s">
        <v>53</v>
      </c>
      <c r="K586" s="8">
        <f>C90</f>
        <v>0</v>
      </c>
      <c r="L586" s="8">
        <v>700</v>
      </c>
      <c r="M586" s="29"/>
      <c r="N586" s="29">
        <f>(K586*N585)</f>
        <v>0</v>
      </c>
    </row>
    <row r="587" spans="10:15" ht="15" customHeight="1" x14ac:dyDescent="0.2">
      <c r="J587" s="8" t="s">
        <v>713</v>
      </c>
      <c r="K587" s="8">
        <f>L587/K584</f>
        <v>0</v>
      </c>
      <c r="L587" s="8">
        <f>F79</f>
        <v>0</v>
      </c>
      <c r="M587" s="8"/>
      <c r="N587" s="29">
        <f>N584*K587</f>
        <v>0</v>
      </c>
    </row>
    <row r="588" spans="10:15" ht="15" customHeight="1" x14ac:dyDescent="0.2">
      <c r="J588" s="30"/>
      <c r="K588" s="30"/>
      <c r="L588" s="30"/>
      <c r="M588" s="30"/>
      <c r="O588" s="42">
        <f>SUM(N586:N587)</f>
        <v>0</v>
      </c>
    </row>
    <row r="589" spans="10:15" ht="15" customHeight="1" x14ac:dyDescent="0.2">
      <c r="J589" s="90" t="s">
        <v>973</v>
      </c>
      <c r="K589" s="30"/>
      <c r="L589" s="30"/>
      <c r="M589" s="30"/>
      <c r="N589" s="30"/>
    </row>
    <row r="590" spans="10:15" ht="15" customHeight="1" x14ac:dyDescent="0.2">
      <c r="J590" s="8" t="s">
        <v>733</v>
      </c>
      <c r="K590" s="8">
        <v>25</v>
      </c>
      <c r="L590" s="8">
        <v>1000</v>
      </c>
      <c r="M590" s="29">
        <v>2.57</v>
      </c>
      <c r="N590" s="29">
        <f>(M590*K590)/L590</f>
        <v>6.4250000000000002E-2</v>
      </c>
    </row>
    <row r="591" spans="10:15" ht="15" customHeight="1" x14ac:dyDescent="0.2">
      <c r="J591" s="8" t="s">
        <v>734</v>
      </c>
      <c r="K591" s="8">
        <v>35</v>
      </c>
      <c r="L591" s="8">
        <v>700</v>
      </c>
      <c r="M591" s="29">
        <v>11.46</v>
      </c>
      <c r="N591" s="29">
        <f t="shared" ref="N591:N593" si="41">(M591*K591)/L591</f>
        <v>0.57300000000000006</v>
      </c>
    </row>
    <row r="592" spans="10:15" ht="15" customHeight="1" x14ac:dyDescent="0.2">
      <c r="J592" s="8" t="s">
        <v>974</v>
      </c>
      <c r="K592" s="8">
        <v>30</v>
      </c>
      <c r="L592" s="8">
        <v>700</v>
      </c>
      <c r="M592" s="29">
        <v>10.98</v>
      </c>
      <c r="N592" s="29">
        <f t="shared" si="41"/>
        <v>0.47057142857142864</v>
      </c>
    </row>
    <row r="593" spans="10:15" ht="15" customHeight="1" x14ac:dyDescent="0.2">
      <c r="J593" s="8" t="s">
        <v>111</v>
      </c>
      <c r="K593" s="8">
        <v>25</v>
      </c>
      <c r="L593" s="8">
        <v>1000</v>
      </c>
      <c r="M593" s="29">
        <v>1.99</v>
      </c>
      <c r="N593" s="29">
        <f t="shared" si="41"/>
        <v>4.9750000000000003E-2</v>
      </c>
    </row>
    <row r="594" spans="10:15" ht="15" customHeight="1" x14ac:dyDescent="0.2">
      <c r="J594" s="7" t="s">
        <v>48</v>
      </c>
      <c r="K594" s="8">
        <v>60</v>
      </c>
      <c r="L594" s="8"/>
      <c r="M594" s="8"/>
      <c r="N594" s="29">
        <f>SUM(N590:N593)</f>
        <v>1.1575714285714287</v>
      </c>
    </row>
    <row r="595" spans="10:15" ht="15" customHeight="1" x14ac:dyDescent="0.2">
      <c r="J595" s="8" t="s">
        <v>52</v>
      </c>
      <c r="K595" s="51">
        <f>L595/K594</f>
        <v>11.666666666666666</v>
      </c>
      <c r="L595" s="8">
        <v>700</v>
      </c>
      <c r="M595" s="8"/>
      <c r="N595" s="29">
        <f>N594*K595</f>
        <v>13.505000000000001</v>
      </c>
    </row>
    <row r="596" spans="10:15" ht="15" customHeight="1" x14ac:dyDescent="0.2">
      <c r="J596" s="7" t="s">
        <v>53</v>
      </c>
      <c r="K596" s="8">
        <f>C70</f>
        <v>0</v>
      </c>
      <c r="L596" s="8">
        <v>700</v>
      </c>
      <c r="M596" s="8"/>
      <c r="N596" s="29">
        <f>N595*K596</f>
        <v>0</v>
      </c>
    </row>
    <row r="597" spans="10:15" ht="15" customHeight="1" x14ac:dyDescent="0.2">
      <c r="J597" s="7" t="s">
        <v>713</v>
      </c>
      <c r="K597" s="8">
        <f>L597/K594</f>
        <v>0</v>
      </c>
      <c r="L597" s="8">
        <f>F70</f>
        <v>0</v>
      </c>
      <c r="M597" s="8"/>
      <c r="N597" s="29">
        <f>N594*K597</f>
        <v>0</v>
      </c>
    </row>
    <row r="598" spans="10:15" ht="15" customHeight="1" x14ac:dyDescent="0.15">
      <c r="O598" s="207">
        <f>SUM(N596+N597)</f>
        <v>0</v>
      </c>
    </row>
    <row r="599" spans="10:15" ht="15" customHeight="1" x14ac:dyDescent="0.2">
      <c r="J599" s="90" t="s">
        <v>1071</v>
      </c>
      <c r="K599" s="30"/>
      <c r="L599" s="30"/>
      <c r="M599" s="30"/>
      <c r="N599" s="30"/>
    </row>
    <row r="600" spans="10:15" ht="15" customHeight="1" x14ac:dyDescent="0.25">
      <c r="J600" s="201" t="s">
        <v>1172</v>
      </c>
      <c r="K600" s="202">
        <v>700</v>
      </c>
      <c r="L600" s="11">
        <v>750</v>
      </c>
      <c r="M600" s="12">
        <v>5</v>
      </c>
      <c r="N600" s="29">
        <f>M600*K600/L600</f>
        <v>4.666666666666667</v>
      </c>
    </row>
    <row r="601" spans="10:15" ht="15" customHeight="1" x14ac:dyDescent="0.25">
      <c r="J601" s="201" t="s">
        <v>593</v>
      </c>
      <c r="K601" s="202">
        <v>170</v>
      </c>
      <c r="L601" s="11">
        <v>100</v>
      </c>
      <c r="M601" s="12">
        <v>1.82</v>
      </c>
      <c r="N601" s="29">
        <f t="shared" ref="N601:N604" si="42">M601*K601/L601</f>
        <v>3.0940000000000003</v>
      </c>
    </row>
    <row r="602" spans="10:15" ht="15" customHeight="1" x14ac:dyDescent="0.25">
      <c r="J602" s="201" t="s">
        <v>1161</v>
      </c>
      <c r="K602" s="202">
        <v>4</v>
      </c>
      <c r="L602" s="11">
        <v>100</v>
      </c>
      <c r="M602" s="12">
        <v>5.6</v>
      </c>
      <c r="N602" s="29">
        <f t="shared" si="42"/>
        <v>0.22399999999999998</v>
      </c>
    </row>
    <row r="603" spans="10:15" ht="15" customHeight="1" x14ac:dyDescent="0.25">
      <c r="J603" s="201" t="s">
        <v>1160</v>
      </c>
      <c r="K603" s="202">
        <v>2</v>
      </c>
      <c r="L603" s="11"/>
      <c r="M603" s="12"/>
      <c r="N603" s="29"/>
    </row>
    <row r="604" spans="10:15" ht="15" customHeight="1" x14ac:dyDescent="0.2">
      <c r="J604" s="7" t="s">
        <v>1173</v>
      </c>
      <c r="K604" s="11">
        <v>1.5</v>
      </c>
      <c r="L604" s="11">
        <v>1000</v>
      </c>
      <c r="M604" s="12">
        <v>1.27</v>
      </c>
      <c r="N604" s="29">
        <f t="shared" si="42"/>
        <v>1.905E-3</v>
      </c>
    </row>
    <row r="605" spans="10:15" ht="15" customHeight="1" x14ac:dyDescent="0.2">
      <c r="J605" s="7"/>
      <c r="K605" s="11">
        <f>SUM(K600:K604)</f>
        <v>877.5</v>
      </c>
      <c r="L605" s="11"/>
      <c r="M605" s="200"/>
      <c r="N605" s="29"/>
    </row>
    <row r="606" spans="10:15" ht="15" customHeight="1" x14ac:dyDescent="0.2">
      <c r="J606" s="8" t="s">
        <v>714</v>
      </c>
      <c r="K606" s="8">
        <v>25</v>
      </c>
      <c r="L606" s="8"/>
      <c r="M606" s="200"/>
      <c r="N606" s="29">
        <f>SUM(N600:N604)</f>
        <v>7.9865716666666673</v>
      </c>
    </row>
    <row r="607" spans="10:15" ht="15" customHeight="1" x14ac:dyDescent="0.2">
      <c r="J607" s="8" t="s">
        <v>52</v>
      </c>
      <c r="K607" s="8">
        <f>L607/K606</f>
        <v>28</v>
      </c>
      <c r="L607" s="8">
        <v>700</v>
      </c>
      <c r="M607" s="8"/>
      <c r="N607" s="29">
        <f>N606*K607</f>
        <v>223.62400666666667</v>
      </c>
    </row>
    <row r="608" spans="10:15" ht="15" customHeight="1" x14ac:dyDescent="0.2">
      <c r="J608" s="8" t="s">
        <v>53</v>
      </c>
      <c r="K608" s="8">
        <f>C73</f>
        <v>0</v>
      </c>
      <c r="L608" s="8">
        <v>700</v>
      </c>
      <c r="M608" s="29"/>
      <c r="N608" s="29">
        <f>(K608*N607)</f>
        <v>0</v>
      </c>
    </row>
    <row r="609" spans="10:15" ht="15" customHeight="1" x14ac:dyDescent="0.2">
      <c r="J609" s="8" t="s">
        <v>713</v>
      </c>
      <c r="K609" s="8">
        <f>L609/K606</f>
        <v>0</v>
      </c>
      <c r="L609" s="8">
        <f>F73</f>
        <v>0</v>
      </c>
      <c r="M609" s="8"/>
      <c r="N609" s="29">
        <f>N606*K609</f>
        <v>0</v>
      </c>
    </row>
    <row r="610" spans="10:15" ht="15" customHeight="1" x14ac:dyDescent="0.2">
      <c r="J610" s="30"/>
      <c r="K610" s="30"/>
      <c r="L610" s="30"/>
      <c r="M610" s="30"/>
      <c r="O610" s="42">
        <f>SUM(N608:N609)</f>
        <v>0</v>
      </c>
    </row>
    <row r="611" spans="10:15" ht="15" customHeight="1" x14ac:dyDescent="0.2">
      <c r="J611" s="90" t="s">
        <v>1072</v>
      </c>
      <c r="K611" s="30"/>
      <c r="L611" s="30"/>
      <c r="M611" s="30"/>
      <c r="N611" s="30"/>
    </row>
    <row r="612" spans="10:15" ht="15" customHeight="1" x14ac:dyDescent="0.25">
      <c r="J612" s="201" t="s">
        <v>1174</v>
      </c>
      <c r="K612" s="202">
        <v>700</v>
      </c>
      <c r="L612" s="11">
        <v>750</v>
      </c>
      <c r="M612" s="12">
        <v>5</v>
      </c>
      <c r="N612" s="29">
        <f>M612*K612/L612</f>
        <v>4.666666666666667</v>
      </c>
    </row>
    <row r="613" spans="10:15" ht="15" customHeight="1" x14ac:dyDescent="0.25">
      <c r="J613" s="201" t="s">
        <v>1175</v>
      </c>
      <c r="K613" s="202">
        <v>170</v>
      </c>
      <c r="L613" s="11">
        <v>100</v>
      </c>
      <c r="M613" s="12">
        <v>1.82</v>
      </c>
      <c r="N613" s="29">
        <f t="shared" ref="N613:N614" si="43">M613*K613/L613</f>
        <v>3.0940000000000003</v>
      </c>
    </row>
    <row r="614" spans="10:15" ht="15" customHeight="1" x14ac:dyDescent="0.25">
      <c r="J614" s="201" t="s">
        <v>1171</v>
      </c>
      <c r="K614" s="202">
        <v>4</v>
      </c>
      <c r="L614" s="11">
        <v>100</v>
      </c>
      <c r="M614" s="12">
        <v>5.6</v>
      </c>
      <c r="N614" s="29">
        <f t="shared" si="43"/>
        <v>0.22399999999999998</v>
      </c>
    </row>
    <row r="615" spans="10:15" ht="15" customHeight="1" x14ac:dyDescent="0.25">
      <c r="J615" s="201" t="s">
        <v>1170</v>
      </c>
      <c r="K615" s="202">
        <v>2</v>
      </c>
      <c r="L615" s="11"/>
      <c r="M615" s="12"/>
      <c r="N615" s="29"/>
    </row>
    <row r="616" spans="10:15" ht="15" customHeight="1" x14ac:dyDescent="0.2">
      <c r="J616" s="7"/>
      <c r="K616" s="11">
        <f>SUM(K612:K615)</f>
        <v>876</v>
      </c>
      <c r="L616" s="11"/>
      <c r="M616" s="200"/>
      <c r="N616" s="29"/>
    </row>
    <row r="617" spans="10:15" ht="15" customHeight="1" x14ac:dyDescent="0.2">
      <c r="J617" s="8" t="s">
        <v>714</v>
      </c>
      <c r="K617" s="8">
        <v>20</v>
      </c>
      <c r="L617" s="8"/>
      <c r="M617" s="200"/>
      <c r="N617" s="29">
        <f>SUM(N612:N615)</f>
        <v>7.9846666666666675</v>
      </c>
    </row>
    <row r="618" spans="10:15" ht="15" customHeight="1" x14ac:dyDescent="0.2">
      <c r="J618" s="8" t="s">
        <v>52</v>
      </c>
      <c r="K618" s="8">
        <f>L618/K617</f>
        <v>35</v>
      </c>
      <c r="L618" s="8">
        <v>700</v>
      </c>
      <c r="M618" s="8"/>
      <c r="N618" s="29">
        <f>N617*K618</f>
        <v>279.46333333333337</v>
      </c>
    </row>
    <row r="619" spans="10:15" ht="15" customHeight="1" x14ac:dyDescent="0.2">
      <c r="J619" s="8" t="s">
        <v>53</v>
      </c>
      <c r="K619" s="8">
        <f>C72</f>
        <v>0</v>
      </c>
      <c r="L619" s="8">
        <v>700</v>
      </c>
      <c r="M619" s="29"/>
      <c r="N619" s="29">
        <f>(K619*N618)</f>
        <v>0</v>
      </c>
    </row>
    <row r="620" spans="10:15" ht="15" customHeight="1" x14ac:dyDescent="0.2">
      <c r="J620" s="8" t="s">
        <v>713</v>
      </c>
      <c r="K620" s="8">
        <f>L620/K617</f>
        <v>0</v>
      </c>
      <c r="L620" s="8">
        <f>F72</f>
        <v>0</v>
      </c>
      <c r="M620" s="8"/>
      <c r="N620" s="29">
        <f>N617*K620</f>
        <v>0</v>
      </c>
    </row>
    <row r="621" spans="10:15" ht="15" customHeight="1" x14ac:dyDescent="0.2">
      <c r="J621" s="30"/>
      <c r="K621" s="30"/>
      <c r="L621" s="30"/>
      <c r="M621" s="30"/>
      <c r="O621" s="42">
        <f>SUM(N619:N620)</f>
        <v>0</v>
      </c>
    </row>
    <row r="622" spans="10:15" ht="15" customHeight="1" x14ac:dyDescent="0.2">
      <c r="J622" s="90" t="s">
        <v>1077</v>
      </c>
      <c r="K622" s="30"/>
      <c r="L622" s="30"/>
      <c r="M622" s="30"/>
      <c r="N622" s="30"/>
    </row>
    <row r="623" spans="10:15" ht="15" customHeight="1" x14ac:dyDescent="0.25">
      <c r="J623" s="201" t="s">
        <v>799</v>
      </c>
      <c r="K623" s="202">
        <v>700</v>
      </c>
      <c r="L623" s="11">
        <v>700</v>
      </c>
      <c r="M623" s="205">
        <v>19.75</v>
      </c>
      <c r="N623" s="29">
        <f>K623*M623/L623</f>
        <v>19.75</v>
      </c>
    </row>
    <row r="624" spans="10:15" ht="15" customHeight="1" x14ac:dyDescent="0.25">
      <c r="J624" s="201" t="s">
        <v>1176</v>
      </c>
      <c r="K624" s="202">
        <v>5</v>
      </c>
      <c r="L624" s="11">
        <v>20</v>
      </c>
      <c r="M624" s="205">
        <v>4.4400000000000004</v>
      </c>
      <c r="N624" s="29">
        <f>K624*M624/L624</f>
        <v>1.1100000000000001</v>
      </c>
    </row>
    <row r="625" spans="10:15" ht="15" customHeight="1" x14ac:dyDescent="0.2">
      <c r="J625" s="7"/>
      <c r="K625" s="11">
        <v>700</v>
      </c>
      <c r="L625" s="11"/>
      <c r="M625" s="200"/>
      <c r="N625" s="29">
        <f>SUM(N623:N624)</f>
        <v>20.86</v>
      </c>
    </row>
    <row r="626" spans="10:15" ht="15" customHeight="1" x14ac:dyDescent="0.2">
      <c r="J626" s="8" t="s">
        <v>714</v>
      </c>
      <c r="K626" s="8">
        <v>50</v>
      </c>
      <c r="L626" s="8"/>
      <c r="M626" s="200"/>
      <c r="N626" s="29">
        <f>N625/K627</f>
        <v>1.49</v>
      </c>
    </row>
    <row r="627" spans="10:15" ht="15" customHeight="1" x14ac:dyDescent="0.2">
      <c r="J627" s="8" t="s">
        <v>52</v>
      </c>
      <c r="K627" s="8">
        <f>L627/K626</f>
        <v>14</v>
      </c>
      <c r="L627" s="8">
        <v>700</v>
      </c>
      <c r="M627" s="8"/>
      <c r="N627" s="29">
        <f>N626*K627</f>
        <v>20.86</v>
      </c>
    </row>
    <row r="628" spans="10:15" ht="15" customHeight="1" x14ac:dyDescent="0.2">
      <c r="J628" s="8" t="s">
        <v>53</v>
      </c>
      <c r="K628" s="8">
        <f>C68</f>
        <v>0</v>
      </c>
      <c r="L628" s="8">
        <v>700</v>
      </c>
      <c r="M628" s="29"/>
      <c r="N628" s="29">
        <f>(K628*N626)</f>
        <v>0</v>
      </c>
    </row>
    <row r="629" spans="10:15" ht="15" customHeight="1" x14ac:dyDescent="0.2">
      <c r="J629" s="8" t="s">
        <v>1038</v>
      </c>
      <c r="K629" s="8">
        <f>L629/K626</f>
        <v>0</v>
      </c>
      <c r="L629" s="8">
        <f>F68</f>
        <v>0</v>
      </c>
      <c r="M629" s="8"/>
      <c r="N629" s="29">
        <f>N626*K629</f>
        <v>0</v>
      </c>
    </row>
    <row r="630" spans="10:15" ht="15" customHeight="1" x14ac:dyDescent="0.2">
      <c r="J630" s="30"/>
      <c r="K630" s="30"/>
      <c r="L630" s="30"/>
      <c r="M630" s="30"/>
      <c r="O630" s="42">
        <f>SUM(N628:N629)</f>
        <v>0</v>
      </c>
    </row>
    <row r="631" spans="10:15" ht="15" customHeight="1" x14ac:dyDescent="0.2">
      <c r="J631" s="90" t="s">
        <v>1180</v>
      </c>
      <c r="K631" s="30"/>
      <c r="L631" s="30"/>
      <c r="M631" s="30"/>
      <c r="N631" s="30"/>
    </row>
    <row r="632" spans="10:15" ht="15" customHeight="1" x14ac:dyDescent="0.25">
      <c r="J632" s="201" t="s">
        <v>58</v>
      </c>
      <c r="K632" s="202">
        <v>700</v>
      </c>
      <c r="L632" s="11">
        <v>1000</v>
      </c>
      <c r="M632" s="205">
        <v>1.99</v>
      </c>
      <c r="N632" s="29">
        <f>K632*M632/L632</f>
        <v>1.393</v>
      </c>
    </row>
    <row r="633" spans="10:15" ht="15" customHeight="1" x14ac:dyDescent="0.25">
      <c r="J633" s="201" t="s">
        <v>1181</v>
      </c>
      <c r="K633" s="202">
        <v>300</v>
      </c>
      <c r="L633" s="11">
        <v>1000</v>
      </c>
      <c r="M633" s="205">
        <v>10</v>
      </c>
      <c r="N633" s="29">
        <f>K633*M633/L633</f>
        <v>3</v>
      </c>
    </row>
    <row r="634" spans="10:15" ht="15" customHeight="1" x14ac:dyDescent="0.2">
      <c r="J634" s="7"/>
      <c r="K634" s="11">
        <f>SUM(K632:K633)</f>
        <v>1000</v>
      </c>
      <c r="L634" s="11"/>
      <c r="M634" s="200"/>
      <c r="N634" s="29">
        <f>SUM(N632:N633)</f>
        <v>4.3929999999999998</v>
      </c>
    </row>
    <row r="635" spans="10:15" ht="15" customHeight="1" x14ac:dyDescent="0.2">
      <c r="J635" s="8" t="s">
        <v>714</v>
      </c>
      <c r="K635" s="8">
        <v>10</v>
      </c>
      <c r="L635" s="8"/>
      <c r="M635" s="200"/>
      <c r="N635" s="29">
        <f>N634*K635/K634</f>
        <v>4.3929999999999997E-2</v>
      </c>
    </row>
    <row r="636" spans="10:15" ht="15" customHeight="1" x14ac:dyDescent="0.2">
      <c r="J636" s="8" t="s">
        <v>52</v>
      </c>
      <c r="K636" s="8">
        <f>L636/K635</f>
        <v>70</v>
      </c>
      <c r="L636" s="8">
        <v>700</v>
      </c>
      <c r="M636" s="8"/>
      <c r="N636" s="29">
        <f>N635*K636</f>
        <v>3.0750999999999999</v>
      </c>
    </row>
    <row r="637" spans="10:15" ht="15" customHeight="1" x14ac:dyDescent="0.2">
      <c r="J637" s="8" t="s">
        <v>53</v>
      </c>
      <c r="K637" s="8">
        <f>C69</f>
        <v>0</v>
      </c>
      <c r="L637" s="8">
        <v>700</v>
      </c>
      <c r="M637" s="29"/>
      <c r="N637" s="29">
        <f>(K637*N636)</f>
        <v>0</v>
      </c>
    </row>
    <row r="638" spans="10:15" ht="15" customHeight="1" x14ac:dyDescent="0.2">
      <c r="J638" s="8" t="s">
        <v>713</v>
      </c>
      <c r="K638" s="8">
        <f>L638/K635</f>
        <v>0</v>
      </c>
      <c r="L638" s="8">
        <f>F69</f>
        <v>0</v>
      </c>
      <c r="M638" s="8"/>
      <c r="N638" s="29">
        <f>N635*K638</f>
        <v>0</v>
      </c>
    </row>
    <row r="639" spans="10:15" ht="15" customHeight="1" x14ac:dyDescent="0.2">
      <c r="J639" s="30"/>
      <c r="K639" s="30"/>
      <c r="L639" s="30"/>
      <c r="M639" s="30"/>
      <c r="O639" s="42">
        <f>SUM(N637:N638)</f>
        <v>0</v>
      </c>
    </row>
    <row r="640" spans="10:15" ht="15" customHeight="1" x14ac:dyDescent="0.2">
      <c r="J640" s="90" t="s">
        <v>1182</v>
      </c>
      <c r="K640" s="30"/>
      <c r="L640" s="30"/>
      <c r="M640" s="30"/>
      <c r="N640" s="30"/>
    </row>
    <row r="641" spans="10:15" ht="15" customHeight="1" x14ac:dyDescent="0.25">
      <c r="J641" s="201" t="s">
        <v>1183</v>
      </c>
      <c r="K641" s="202">
        <v>21.6</v>
      </c>
      <c r="L641" s="11">
        <v>1262.2</v>
      </c>
      <c r="M641" s="205">
        <v>3.83</v>
      </c>
      <c r="N641" s="29">
        <f>K641*M641/L641</f>
        <v>6.5542703216605935E-2</v>
      </c>
    </row>
    <row r="642" spans="10:15" ht="15" customHeight="1" x14ac:dyDescent="0.2">
      <c r="J642" s="8" t="s">
        <v>52</v>
      </c>
      <c r="K642" s="8">
        <f>L642/K641</f>
        <v>32.407407407407405</v>
      </c>
      <c r="L642" s="8">
        <v>700</v>
      </c>
      <c r="M642" s="8"/>
      <c r="N642" s="29">
        <f>N641*K642</f>
        <v>2.1240690857233404</v>
      </c>
    </row>
    <row r="643" spans="10:15" ht="15" customHeight="1" x14ac:dyDescent="0.2">
      <c r="J643" s="8" t="s">
        <v>53</v>
      </c>
      <c r="K643" s="8">
        <f>C71</f>
        <v>0</v>
      </c>
      <c r="L643" s="8">
        <v>700</v>
      </c>
      <c r="M643" s="29"/>
      <c r="N643" s="29">
        <f>(K643*N642)</f>
        <v>0</v>
      </c>
    </row>
    <row r="644" spans="10:15" ht="15" customHeight="1" x14ac:dyDescent="0.2">
      <c r="J644" s="8" t="s">
        <v>713</v>
      </c>
      <c r="K644" s="8">
        <f>L644/K642</f>
        <v>0</v>
      </c>
      <c r="L644" s="8">
        <f>F71</f>
        <v>0</v>
      </c>
      <c r="M644" s="8"/>
      <c r="N644" s="29">
        <f>N641*K644</f>
        <v>0</v>
      </c>
    </row>
    <row r="645" spans="10:15" ht="15" customHeight="1" x14ac:dyDescent="0.2">
      <c r="J645" s="30"/>
      <c r="K645" s="30"/>
      <c r="L645" s="30"/>
      <c r="M645" s="30"/>
      <c r="O645" s="42">
        <f>SUM(N643:N644)</f>
        <v>0</v>
      </c>
    </row>
    <row r="646" spans="10:15" ht="15" customHeight="1" x14ac:dyDescent="0.2">
      <c r="J646" s="90" t="s">
        <v>1212</v>
      </c>
      <c r="K646" s="30"/>
      <c r="L646" s="30"/>
      <c r="M646" s="30"/>
      <c r="N646" s="30"/>
    </row>
    <row r="647" spans="10:15" ht="15" customHeight="1" x14ac:dyDescent="0.25">
      <c r="J647" s="201" t="s">
        <v>1213</v>
      </c>
      <c r="K647" s="202">
        <v>45</v>
      </c>
      <c r="L647" s="11">
        <v>700</v>
      </c>
      <c r="M647" s="205">
        <v>8</v>
      </c>
      <c r="N647" s="29">
        <f>K647*M647/L647</f>
        <v>0.51428571428571423</v>
      </c>
    </row>
    <row r="648" spans="10:15" ht="15" customHeight="1" x14ac:dyDescent="0.2">
      <c r="J648" s="8" t="s">
        <v>52</v>
      </c>
      <c r="K648" s="8">
        <f>L648/K647</f>
        <v>15.555555555555555</v>
      </c>
      <c r="L648" s="8">
        <v>700</v>
      </c>
      <c r="M648" s="8"/>
      <c r="N648" s="29">
        <f>N647*K648</f>
        <v>7.9999999999999991</v>
      </c>
    </row>
    <row r="649" spans="10:15" ht="15" customHeight="1" x14ac:dyDescent="0.2">
      <c r="J649" s="8" t="s">
        <v>53</v>
      </c>
      <c r="K649" s="8">
        <f>C77</f>
        <v>0</v>
      </c>
      <c r="L649" s="8">
        <v>700</v>
      </c>
      <c r="M649" s="29"/>
      <c r="N649" s="29">
        <f>(K649*N648)</f>
        <v>0</v>
      </c>
    </row>
    <row r="650" spans="10:15" ht="15" customHeight="1" x14ac:dyDescent="0.2">
      <c r="J650" s="8" t="s">
        <v>713</v>
      </c>
      <c r="K650" s="8">
        <f>L650/K648</f>
        <v>0</v>
      </c>
      <c r="L650" s="8">
        <f>F82</f>
        <v>0</v>
      </c>
      <c r="M650" s="8"/>
      <c r="N650" s="29">
        <f>N647*K650</f>
        <v>0</v>
      </c>
    </row>
    <row r="651" spans="10:15" ht="15" customHeight="1" x14ac:dyDescent="0.2">
      <c r="J651" s="30"/>
      <c r="K651" s="30"/>
      <c r="L651" s="30"/>
      <c r="M651" s="30"/>
      <c r="O651" s="42">
        <f>SUM(N649:N650)</f>
        <v>0</v>
      </c>
    </row>
    <row r="652" spans="10:15" ht="15" customHeight="1" x14ac:dyDescent="0.2">
      <c r="J652" s="90" t="s">
        <v>1295</v>
      </c>
      <c r="K652" s="30"/>
      <c r="L652" s="30"/>
      <c r="M652" s="30"/>
      <c r="N652" s="30"/>
    </row>
    <row r="653" spans="10:15" ht="15" customHeight="1" x14ac:dyDescent="0.2">
      <c r="J653" s="7" t="s">
        <v>816</v>
      </c>
      <c r="K653" s="11">
        <v>20</v>
      </c>
      <c r="L653" s="11">
        <v>700</v>
      </c>
      <c r="M653" s="12">
        <v>20.89</v>
      </c>
      <c r="N653" s="29">
        <f t="shared" ref="N653:N655" si="44">M653*K653/L653</f>
        <v>0.59685714285714286</v>
      </c>
    </row>
    <row r="654" spans="10:15" ht="15" customHeight="1" x14ac:dyDescent="0.2">
      <c r="J654" s="7" t="s">
        <v>60</v>
      </c>
      <c r="K654" s="11">
        <v>60</v>
      </c>
      <c r="L654" s="11">
        <v>500</v>
      </c>
      <c r="M654" s="12"/>
      <c r="N654" s="29">
        <f t="shared" si="44"/>
        <v>0</v>
      </c>
    </row>
    <row r="655" spans="10:15" ht="15" customHeight="1" x14ac:dyDescent="0.2">
      <c r="J655" s="7" t="s">
        <v>1316</v>
      </c>
      <c r="K655" s="11">
        <v>10</v>
      </c>
      <c r="L655" s="11">
        <v>1000</v>
      </c>
      <c r="M655" s="12">
        <v>4.4400000000000004</v>
      </c>
      <c r="N655" s="29">
        <f t="shared" si="44"/>
        <v>4.4400000000000009E-2</v>
      </c>
    </row>
    <row r="656" spans="10:15" ht="15" customHeight="1" x14ac:dyDescent="0.2">
      <c r="J656" s="8" t="s">
        <v>714</v>
      </c>
      <c r="K656" s="8">
        <f>K653+K654+K655</f>
        <v>90</v>
      </c>
      <c r="L656" s="8"/>
      <c r="M656" s="200"/>
      <c r="N656" s="29">
        <f>SUM(N653:N655)</f>
        <v>0.64125714285714286</v>
      </c>
    </row>
    <row r="657" spans="10:15" ht="15" customHeight="1" x14ac:dyDescent="0.2">
      <c r="J657" s="8" t="s">
        <v>52</v>
      </c>
      <c r="K657" s="8">
        <f>L657/K656</f>
        <v>7.7777777777777777</v>
      </c>
      <c r="L657" s="8">
        <v>700</v>
      </c>
      <c r="M657" s="8"/>
      <c r="N657" s="29">
        <f>N656*K657</f>
        <v>4.9875555555555557</v>
      </c>
    </row>
    <row r="658" spans="10:15" ht="15" customHeight="1" x14ac:dyDescent="0.2">
      <c r="J658" s="8" t="s">
        <v>53</v>
      </c>
      <c r="K658" s="8">
        <f>C85</f>
        <v>0</v>
      </c>
      <c r="L658" s="8">
        <v>700</v>
      </c>
      <c r="M658" s="29"/>
      <c r="N658" s="29">
        <f>(K658*N657)</f>
        <v>0</v>
      </c>
    </row>
    <row r="659" spans="10:15" ht="15" customHeight="1" x14ac:dyDescent="0.2">
      <c r="J659" s="8" t="s">
        <v>713</v>
      </c>
      <c r="K659" s="8">
        <f>L659/K656</f>
        <v>0</v>
      </c>
      <c r="L659" s="8">
        <f>F176</f>
        <v>0</v>
      </c>
      <c r="M659" s="8"/>
      <c r="N659" s="29">
        <f>N656*K659</f>
        <v>0</v>
      </c>
    </row>
    <row r="660" spans="10:15" ht="15" customHeight="1" x14ac:dyDescent="0.2">
      <c r="J660" s="30"/>
      <c r="K660" s="30"/>
      <c r="L660" s="30"/>
      <c r="M660" s="30"/>
      <c r="O660" s="42">
        <f>SUM(N658:N659)</f>
        <v>0</v>
      </c>
    </row>
    <row r="661" spans="10:15" ht="15" customHeight="1" x14ac:dyDescent="0.2">
      <c r="J661" s="90" t="s">
        <v>1317</v>
      </c>
      <c r="K661" s="30"/>
      <c r="L661" s="30"/>
      <c r="M661" s="30"/>
      <c r="N661" s="30"/>
    </row>
    <row r="662" spans="10:15" ht="15" customHeight="1" x14ac:dyDescent="0.25">
      <c r="J662" s="201" t="s">
        <v>588</v>
      </c>
      <c r="K662" s="202">
        <v>700</v>
      </c>
      <c r="L662" s="11">
        <v>1000</v>
      </c>
      <c r="M662" s="205">
        <v>0</v>
      </c>
      <c r="N662" s="29">
        <f>K662*M662/L662</f>
        <v>0</v>
      </c>
    </row>
    <row r="663" spans="10:15" ht="15" customHeight="1" x14ac:dyDescent="0.25">
      <c r="J663" s="201" t="s">
        <v>247</v>
      </c>
      <c r="K663" s="202">
        <v>300</v>
      </c>
      <c r="L663" s="11">
        <v>500</v>
      </c>
      <c r="M663" s="205">
        <v>3.7</v>
      </c>
      <c r="N663" s="29">
        <f>K663*M663/L663</f>
        <v>2.2200000000000002</v>
      </c>
    </row>
    <row r="664" spans="10:15" ht="15" customHeight="1" x14ac:dyDescent="0.2">
      <c r="J664" s="7"/>
      <c r="K664" s="11">
        <f>SUM(K662:K663)</f>
        <v>1000</v>
      </c>
      <c r="L664" s="11"/>
      <c r="M664" s="200"/>
      <c r="N664" s="29">
        <f>SUM(N662:N663)</f>
        <v>2.2200000000000002</v>
      </c>
    </row>
    <row r="665" spans="10:15" ht="15" customHeight="1" x14ac:dyDescent="0.2">
      <c r="J665" s="8" t="s">
        <v>714</v>
      </c>
      <c r="K665" s="8">
        <f>L666/K664</f>
        <v>0.7</v>
      </c>
      <c r="L665" s="8"/>
      <c r="M665" s="200"/>
      <c r="N665" s="29">
        <f>N664*K665/K664</f>
        <v>1.554E-3</v>
      </c>
    </row>
    <row r="666" spans="10:15" ht="15" customHeight="1" x14ac:dyDescent="0.2">
      <c r="J666" s="8" t="s">
        <v>52</v>
      </c>
      <c r="K666" s="8">
        <f>L666/K665</f>
        <v>1000.0000000000001</v>
      </c>
      <c r="L666" s="8">
        <v>700</v>
      </c>
      <c r="M666" s="8"/>
      <c r="N666" s="29">
        <f>N665*K666</f>
        <v>1.5540000000000003</v>
      </c>
    </row>
    <row r="667" spans="10:15" ht="15" customHeight="1" x14ac:dyDescent="0.2">
      <c r="J667" s="8" t="s">
        <v>53</v>
      </c>
      <c r="K667" s="8">
        <f>C89</f>
        <v>0</v>
      </c>
      <c r="L667" s="8">
        <v>700</v>
      </c>
      <c r="M667" s="29"/>
      <c r="N667" s="29">
        <f>(K667*N666)</f>
        <v>0</v>
      </c>
    </row>
    <row r="668" spans="10:15" ht="15" customHeight="1" x14ac:dyDescent="0.2">
      <c r="J668" s="8" t="s">
        <v>713</v>
      </c>
      <c r="K668" s="8">
        <f>L668/K665</f>
        <v>0</v>
      </c>
      <c r="L668" s="8">
        <f>F99</f>
        <v>0</v>
      </c>
      <c r="M668" s="8"/>
      <c r="N668" s="29">
        <f>N665*K668</f>
        <v>0</v>
      </c>
    </row>
    <row r="669" spans="10:15" ht="15" customHeight="1" x14ac:dyDescent="0.2">
      <c r="J669" s="30"/>
      <c r="K669" s="30"/>
      <c r="L669" s="30"/>
      <c r="M669" s="30"/>
      <c r="O669" s="42">
        <f>SUM(N667:N668)</f>
        <v>0</v>
      </c>
    </row>
  </sheetData>
  <sortState xmlns:xlrd2="http://schemas.microsoft.com/office/spreadsheetml/2017/richdata2" ref="B6:F6">
    <sortCondition ref="B4:B6"/>
  </sortState>
  <mergeCells count="1">
    <mergeCell ref="B2:F2"/>
  </mergeCells>
  <phoneticPr fontId="38" alignment="center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B1:I45"/>
  <sheetViews>
    <sheetView zoomScale="109" zoomScaleNormal="90" workbookViewId="0">
      <selection activeCell="E22" sqref="E22:E26"/>
    </sheetView>
  </sheetViews>
  <sheetFormatPr defaultColWidth="11.765625" defaultRowHeight="13.5" x14ac:dyDescent="0.15"/>
  <cols>
    <col min="2" max="2" width="35.05859375" bestFit="1" customWidth="1"/>
    <col min="3" max="3" width="10.6640625" bestFit="1" customWidth="1"/>
    <col min="4" max="4" width="12.13671875" style="3" bestFit="1" customWidth="1"/>
    <col min="5" max="5" width="14.46484375" bestFit="1" customWidth="1"/>
    <col min="6" max="6" width="9.4375" bestFit="1" customWidth="1"/>
    <col min="7" max="7" width="11.03125" bestFit="1" customWidth="1"/>
    <col min="9" max="9" width="13.8515625" bestFit="1" customWidth="1"/>
  </cols>
  <sheetData>
    <row r="1" spans="2:9" x14ac:dyDescent="0.15">
      <c r="B1" s="192" t="s">
        <v>773</v>
      </c>
      <c r="C1" s="192" t="s">
        <v>209</v>
      </c>
      <c r="D1" s="193" t="s">
        <v>210</v>
      </c>
      <c r="E1" s="192" t="s">
        <v>211</v>
      </c>
      <c r="F1" s="192" t="s">
        <v>212</v>
      </c>
      <c r="G1" s="192" t="s">
        <v>774</v>
      </c>
      <c r="H1" s="192" t="s">
        <v>775</v>
      </c>
      <c r="I1" s="192" t="s">
        <v>776</v>
      </c>
    </row>
    <row r="2" spans="2:9" ht="18.75" x14ac:dyDescent="0.25">
      <c r="B2" s="187"/>
      <c r="C2" s="188" t="s">
        <v>208</v>
      </c>
      <c r="D2" s="188"/>
      <c r="E2" s="188"/>
      <c r="F2" s="188"/>
      <c r="G2" s="188"/>
    </row>
    <row r="3" spans="2:9" ht="18.75" x14ac:dyDescent="0.25">
      <c r="B3" s="189" t="s">
        <v>125</v>
      </c>
      <c r="C3" s="189"/>
      <c r="D3" s="189"/>
      <c r="E3" s="189"/>
      <c r="F3" s="189"/>
      <c r="G3" s="189">
        <f>SUM(C3:F3)</f>
        <v>0</v>
      </c>
      <c r="H3" s="69">
        <v>5</v>
      </c>
      <c r="I3" s="69">
        <f t="shared" ref="I3:I40" si="0">G3*H3</f>
        <v>0</v>
      </c>
    </row>
    <row r="4" spans="2:9" ht="18.75" x14ac:dyDescent="0.25">
      <c r="B4" s="189" t="s">
        <v>770</v>
      </c>
      <c r="C4" s="69">
        <v>6</v>
      </c>
      <c r="D4" s="217"/>
      <c r="E4" s="69"/>
      <c r="F4" s="69"/>
      <c r="G4" s="189">
        <f t="shared" ref="G4:G40" si="1">SUM(C4:F4)</f>
        <v>6</v>
      </c>
      <c r="H4" s="69"/>
      <c r="I4" s="69">
        <f t="shared" si="0"/>
        <v>0</v>
      </c>
    </row>
    <row r="5" spans="2:9" ht="18.75" x14ac:dyDescent="0.25">
      <c r="B5" s="189" t="s">
        <v>218</v>
      </c>
      <c r="C5" s="189"/>
      <c r="D5" s="189"/>
      <c r="E5" s="189"/>
      <c r="F5" s="189"/>
      <c r="G5" s="189">
        <f t="shared" si="1"/>
        <v>0</v>
      </c>
      <c r="H5" s="69"/>
      <c r="I5" s="69">
        <f t="shared" si="0"/>
        <v>0</v>
      </c>
    </row>
    <row r="6" spans="2:9" ht="18.75" x14ac:dyDescent="0.25">
      <c r="B6" s="189" t="s">
        <v>780</v>
      </c>
      <c r="C6" s="69">
        <v>6</v>
      </c>
      <c r="D6" s="217"/>
      <c r="E6" s="69"/>
      <c r="F6" s="69"/>
      <c r="G6" s="189">
        <f t="shared" si="1"/>
        <v>6</v>
      </c>
      <c r="H6" s="69">
        <v>2.34</v>
      </c>
      <c r="I6" s="69">
        <f t="shared" si="0"/>
        <v>14.04</v>
      </c>
    </row>
    <row r="7" spans="2:9" ht="18.75" x14ac:dyDescent="0.25">
      <c r="B7" s="189" t="s">
        <v>43</v>
      </c>
      <c r="C7" s="189">
        <v>6</v>
      </c>
      <c r="D7" s="189"/>
      <c r="E7" s="189"/>
      <c r="F7" s="189"/>
      <c r="G7" s="189">
        <f t="shared" si="1"/>
        <v>6</v>
      </c>
      <c r="H7" s="69">
        <v>1.5</v>
      </c>
      <c r="I7" s="69">
        <f t="shared" si="0"/>
        <v>9</v>
      </c>
    </row>
    <row r="8" spans="2:9" ht="18.75" x14ac:dyDescent="0.25">
      <c r="B8" s="189" t="s">
        <v>126</v>
      </c>
      <c r="C8" s="189"/>
      <c r="D8" s="189">
        <v>25</v>
      </c>
      <c r="E8" s="189">
        <v>23</v>
      </c>
      <c r="F8" s="189"/>
      <c r="G8" s="189">
        <f t="shared" si="1"/>
        <v>48</v>
      </c>
      <c r="H8" s="69">
        <v>1.04</v>
      </c>
      <c r="I8" s="69">
        <f t="shared" si="0"/>
        <v>49.92</v>
      </c>
    </row>
    <row r="9" spans="2:9" ht="18.75" x14ac:dyDescent="0.25">
      <c r="B9" s="189" t="s">
        <v>769</v>
      </c>
      <c r="C9" s="69"/>
      <c r="D9" s="191"/>
      <c r="E9" s="69"/>
      <c r="F9" s="69"/>
      <c r="G9" s="189">
        <f t="shared" si="1"/>
        <v>0</v>
      </c>
      <c r="H9" s="69">
        <v>15</v>
      </c>
      <c r="I9" s="69">
        <f t="shared" si="0"/>
        <v>0</v>
      </c>
    </row>
    <row r="10" spans="2:9" ht="18.75" x14ac:dyDescent="0.25">
      <c r="B10" s="189" t="s">
        <v>767</v>
      </c>
      <c r="C10" s="189"/>
      <c r="D10" s="189"/>
      <c r="E10" s="189"/>
      <c r="F10" s="189"/>
      <c r="G10" s="189">
        <f t="shared" si="1"/>
        <v>0</v>
      </c>
      <c r="H10" s="69">
        <v>4.4000000000000004</v>
      </c>
      <c r="I10" s="69">
        <f t="shared" si="0"/>
        <v>0</v>
      </c>
    </row>
    <row r="11" spans="2:9" ht="18.75" x14ac:dyDescent="0.25">
      <c r="B11" s="189" t="s">
        <v>130</v>
      </c>
      <c r="C11" s="69">
        <v>18</v>
      </c>
      <c r="D11" s="69">
        <v>17</v>
      </c>
      <c r="E11" s="69">
        <v>4</v>
      </c>
      <c r="F11" s="190"/>
      <c r="G11" s="189">
        <f t="shared" si="1"/>
        <v>39</v>
      </c>
      <c r="H11" s="69">
        <v>1.9</v>
      </c>
      <c r="I11" s="69">
        <f t="shared" si="0"/>
        <v>74.099999999999994</v>
      </c>
    </row>
    <row r="12" spans="2:9" ht="18.75" x14ac:dyDescent="0.25">
      <c r="B12" s="189" t="s">
        <v>129</v>
      </c>
      <c r="C12" s="189">
        <v>11</v>
      </c>
      <c r="D12" s="189"/>
      <c r="E12" s="189"/>
      <c r="F12" s="189"/>
      <c r="G12" s="189">
        <f t="shared" si="1"/>
        <v>11</v>
      </c>
      <c r="H12" s="69">
        <v>3.93</v>
      </c>
      <c r="I12" s="69">
        <f t="shared" si="0"/>
        <v>43.230000000000004</v>
      </c>
    </row>
    <row r="13" spans="2:9" ht="18.75" x14ac:dyDescent="0.25">
      <c r="B13" s="189" t="s">
        <v>216</v>
      </c>
      <c r="C13" s="189">
        <v>6</v>
      </c>
      <c r="D13" s="189"/>
      <c r="E13" s="189">
        <v>1</v>
      </c>
      <c r="F13" s="189"/>
      <c r="G13" s="189">
        <f t="shared" si="1"/>
        <v>7</v>
      </c>
      <c r="H13" s="69">
        <v>3.92</v>
      </c>
      <c r="I13" s="69">
        <f t="shared" si="0"/>
        <v>27.439999999999998</v>
      </c>
    </row>
    <row r="14" spans="2:9" ht="18.75" x14ac:dyDescent="0.25">
      <c r="B14" s="189" t="s">
        <v>886</v>
      </c>
      <c r="C14" s="189"/>
      <c r="D14" s="189"/>
      <c r="E14" s="189"/>
      <c r="F14" s="189"/>
      <c r="G14" s="189">
        <f t="shared" si="1"/>
        <v>0</v>
      </c>
      <c r="H14" s="69"/>
      <c r="I14" s="69"/>
    </row>
    <row r="15" spans="2:9" ht="18.75" x14ac:dyDescent="0.25">
      <c r="B15" s="189" t="s">
        <v>761</v>
      </c>
      <c r="C15" s="69">
        <v>8</v>
      </c>
      <c r="D15" s="217"/>
      <c r="E15" s="69"/>
      <c r="F15" s="69"/>
      <c r="G15" s="189">
        <f t="shared" si="1"/>
        <v>8</v>
      </c>
      <c r="H15" s="69"/>
      <c r="I15" s="69">
        <f t="shared" si="0"/>
        <v>0</v>
      </c>
    </row>
    <row r="16" spans="2:9" ht="18.75" x14ac:dyDescent="0.25">
      <c r="B16" s="189" t="s">
        <v>771</v>
      </c>
      <c r="C16" s="69"/>
      <c r="D16" s="217"/>
      <c r="E16" s="69"/>
      <c r="F16" s="69"/>
      <c r="G16" s="189">
        <f t="shared" si="1"/>
        <v>0</v>
      </c>
      <c r="H16" s="69"/>
      <c r="I16" s="69">
        <f t="shared" si="0"/>
        <v>0</v>
      </c>
    </row>
    <row r="17" spans="2:9" ht="18.75" x14ac:dyDescent="0.25">
      <c r="B17" s="189" t="s">
        <v>784</v>
      </c>
      <c r="C17" s="69"/>
      <c r="D17" s="217"/>
      <c r="E17" s="69"/>
      <c r="F17" s="69"/>
      <c r="G17" s="189">
        <f t="shared" si="1"/>
        <v>0</v>
      </c>
      <c r="H17" s="69"/>
      <c r="I17" s="69">
        <f t="shared" si="0"/>
        <v>0</v>
      </c>
    </row>
    <row r="18" spans="2:9" ht="18.75" x14ac:dyDescent="0.25">
      <c r="B18" s="189" t="s">
        <v>762</v>
      </c>
      <c r="C18" s="69">
        <v>6</v>
      </c>
      <c r="D18" s="217"/>
      <c r="E18" s="69"/>
      <c r="F18" s="69"/>
      <c r="G18" s="189">
        <f t="shared" si="1"/>
        <v>6</v>
      </c>
      <c r="H18" s="69"/>
      <c r="I18" s="69">
        <f t="shared" si="0"/>
        <v>0</v>
      </c>
    </row>
    <row r="19" spans="2:9" ht="18.75" x14ac:dyDescent="0.25">
      <c r="B19" s="189" t="s">
        <v>763</v>
      </c>
      <c r="C19" s="189">
        <v>84</v>
      </c>
      <c r="D19" s="189"/>
      <c r="E19" s="189"/>
      <c r="F19" s="189"/>
      <c r="G19" s="189">
        <f t="shared" si="1"/>
        <v>84</v>
      </c>
      <c r="H19" s="69">
        <v>2.69</v>
      </c>
      <c r="I19" s="69">
        <f t="shared" si="0"/>
        <v>225.96</v>
      </c>
    </row>
    <row r="20" spans="2:9" ht="18.75" x14ac:dyDescent="0.25">
      <c r="B20" s="189" t="s">
        <v>764</v>
      </c>
      <c r="C20" s="189"/>
      <c r="D20" s="189"/>
      <c r="E20" s="189"/>
      <c r="F20" s="189"/>
      <c r="G20" s="189">
        <f t="shared" si="1"/>
        <v>0</v>
      </c>
      <c r="H20" s="69">
        <v>2.79</v>
      </c>
      <c r="I20" s="69">
        <f t="shared" si="0"/>
        <v>0</v>
      </c>
    </row>
    <row r="21" spans="2:9" ht="18.75" x14ac:dyDescent="0.25">
      <c r="B21" s="189" t="s">
        <v>127</v>
      </c>
      <c r="C21" s="189">
        <v>12</v>
      </c>
      <c r="D21" s="189">
        <v>6</v>
      </c>
      <c r="E21" s="189">
        <v>1</v>
      </c>
      <c r="F21" s="189"/>
      <c r="G21" s="189">
        <f t="shared" si="1"/>
        <v>19</v>
      </c>
      <c r="H21" s="69">
        <v>4.99</v>
      </c>
      <c r="I21" s="69">
        <f t="shared" si="0"/>
        <v>94.81</v>
      </c>
    </row>
    <row r="22" spans="2:9" ht="18.75" x14ac:dyDescent="0.25">
      <c r="B22" s="189" t="s">
        <v>217</v>
      </c>
      <c r="C22" s="189"/>
      <c r="D22" s="189">
        <v>11</v>
      </c>
      <c r="E22" s="189"/>
      <c r="F22" s="189"/>
      <c r="G22" s="189">
        <f t="shared" si="1"/>
        <v>11</v>
      </c>
      <c r="H22" s="69">
        <v>6.2</v>
      </c>
      <c r="I22" s="69">
        <f t="shared" si="0"/>
        <v>68.2</v>
      </c>
    </row>
    <row r="23" spans="2:9" ht="18.75" x14ac:dyDescent="0.25">
      <c r="B23" s="189" t="s">
        <v>884</v>
      </c>
      <c r="C23" s="189">
        <v>19</v>
      </c>
      <c r="D23" s="189">
        <v>9</v>
      </c>
      <c r="E23" s="189"/>
      <c r="F23" s="189"/>
      <c r="G23" s="189">
        <f t="shared" si="1"/>
        <v>28</v>
      </c>
      <c r="H23" s="69">
        <v>0.8</v>
      </c>
      <c r="I23" s="69">
        <f t="shared" si="0"/>
        <v>22.400000000000002</v>
      </c>
    </row>
    <row r="24" spans="2:9" ht="18.75" x14ac:dyDescent="0.25">
      <c r="B24" s="189" t="s">
        <v>900</v>
      </c>
      <c r="C24" s="189">
        <v>36</v>
      </c>
      <c r="D24" s="189"/>
      <c r="E24" s="189">
        <v>2</v>
      </c>
      <c r="F24" s="189"/>
      <c r="G24" s="189">
        <f t="shared" si="1"/>
        <v>38</v>
      </c>
      <c r="H24" s="69">
        <v>0.78</v>
      </c>
      <c r="I24" s="69">
        <f t="shared" si="0"/>
        <v>29.64</v>
      </c>
    </row>
    <row r="25" spans="2:9" ht="18.75" x14ac:dyDescent="0.25">
      <c r="B25" s="189" t="s">
        <v>885</v>
      </c>
      <c r="C25" s="189"/>
      <c r="D25" s="189">
        <v>94</v>
      </c>
      <c r="E25" s="189"/>
      <c r="F25" s="189"/>
      <c r="G25" s="189">
        <f t="shared" si="1"/>
        <v>94</v>
      </c>
      <c r="H25" s="69"/>
      <c r="I25" s="69">
        <f t="shared" si="0"/>
        <v>0</v>
      </c>
    </row>
    <row r="26" spans="2:9" ht="18.75" x14ac:dyDescent="0.25">
      <c r="B26" s="189" t="s">
        <v>972</v>
      </c>
      <c r="C26" s="189"/>
      <c r="D26" s="189">
        <v>12</v>
      </c>
      <c r="E26" s="189">
        <v>7</v>
      </c>
      <c r="F26" s="189"/>
      <c r="G26" s="189">
        <f t="shared" si="1"/>
        <v>19</v>
      </c>
      <c r="H26" s="69">
        <v>4.21</v>
      </c>
      <c r="I26" s="69">
        <f t="shared" si="0"/>
        <v>79.989999999999995</v>
      </c>
    </row>
    <row r="27" spans="2:9" ht="18.75" x14ac:dyDescent="0.25">
      <c r="B27" s="189" t="s">
        <v>971</v>
      </c>
      <c r="C27" s="189">
        <v>5</v>
      </c>
      <c r="D27" s="189"/>
      <c r="E27" s="189">
        <v>2</v>
      </c>
      <c r="F27" s="189"/>
      <c r="G27" s="189">
        <f t="shared" si="1"/>
        <v>7</v>
      </c>
      <c r="H27" s="69">
        <v>1.5</v>
      </c>
      <c r="I27" s="69">
        <f t="shared" si="0"/>
        <v>10.5</v>
      </c>
    </row>
    <row r="28" spans="2:9" ht="18.75" x14ac:dyDescent="0.25">
      <c r="B28" s="189" t="s">
        <v>44</v>
      </c>
      <c r="C28" s="189">
        <v>4</v>
      </c>
      <c r="D28" s="189"/>
      <c r="E28" s="189"/>
      <c r="F28" s="189"/>
      <c r="G28" s="189">
        <f t="shared" si="1"/>
        <v>4</v>
      </c>
      <c r="H28" s="69"/>
      <c r="I28" s="69">
        <f t="shared" si="0"/>
        <v>0</v>
      </c>
    </row>
    <row r="29" spans="2:9" ht="18.75" x14ac:dyDescent="0.25">
      <c r="B29" s="189" t="s">
        <v>128</v>
      </c>
      <c r="C29" s="189">
        <v>4</v>
      </c>
      <c r="D29" s="189"/>
      <c r="E29" s="189"/>
      <c r="F29" s="189"/>
      <c r="G29" s="189">
        <f t="shared" si="1"/>
        <v>4</v>
      </c>
      <c r="H29" s="69"/>
      <c r="I29" s="69">
        <f t="shared" si="0"/>
        <v>0</v>
      </c>
    </row>
    <row r="30" spans="2:9" ht="18.75" x14ac:dyDescent="0.25">
      <c r="B30" s="189" t="s">
        <v>783</v>
      </c>
      <c r="C30" s="189">
        <v>18</v>
      </c>
      <c r="D30" s="189">
        <v>20</v>
      </c>
      <c r="E30" s="189">
        <v>48</v>
      </c>
      <c r="F30" s="189"/>
      <c r="G30" s="189">
        <f t="shared" si="1"/>
        <v>86</v>
      </c>
      <c r="H30" s="69"/>
      <c r="I30" s="69">
        <f t="shared" si="0"/>
        <v>0</v>
      </c>
    </row>
    <row r="31" spans="2:9" ht="18.75" x14ac:dyDescent="0.25">
      <c r="B31" s="189" t="s">
        <v>887</v>
      </c>
      <c r="C31" s="189">
        <v>39</v>
      </c>
      <c r="D31" s="189"/>
      <c r="E31" s="189"/>
      <c r="F31" s="189"/>
      <c r="G31" s="189">
        <f t="shared" si="1"/>
        <v>39</v>
      </c>
      <c r="H31" s="69">
        <v>1.59</v>
      </c>
      <c r="I31" s="69">
        <f t="shared" si="0"/>
        <v>62.010000000000005</v>
      </c>
    </row>
    <row r="32" spans="2:9" ht="18.75" x14ac:dyDescent="0.25">
      <c r="B32" s="189" t="s">
        <v>766</v>
      </c>
      <c r="C32" s="189">
        <v>17</v>
      </c>
      <c r="D32" s="189">
        <v>12</v>
      </c>
      <c r="E32" s="189">
        <v>3</v>
      </c>
      <c r="F32" s="189"/>
      <c r="G32" s="189">
        <f t="shared" si="1"/>
        <v>32</v>
      </c>
      <c r="H32" s="69">
        <v>5.33</v>
      </c>
      <c r="I32" s="69">
        <f t="shared" si="0"/>
        <v>170.56</v>
      </c>
    </row>
    <row r="33" spans="2:9" ht="18.75" x14ac:dyDescent="0.25">
      <c r="B33" s="189" t="s">
        <v>786</v>
      </c>
      <c r="C33" s="69">
        <v>3</v>
      </c>
      <c r="D33" s="217">
        <v>28</v>
      </c>
      <c r="E33" s="69"/>
      <c r="F33" s="69"/>
      <c r="G33" s="189">
        <f t="shared" si="1"/>
        <v>31</v>
      </c>
      <c r="H33" s="69"/>
      <c r="I33" s="69">
        <f t="shared" si="0"/>
        <v>0</v>
      </c>
    </row>
    <row r="34" spans="2:9" ht="18.75" x14ac:dyDescent="0.25">
      <c r="B34" s="189" t="s">
        <v>782</v>
      </c>
      <c r="C34" s="69"/>
      <c r="D34" s="191">
        <v>5</v>
      </c>
      <c r="E34" s="69"/>
      <c r="F34" s="69"/>
      <c r="G34" s="189">
        <f t="shared" si="1"/>
        <v>5</v>
      </c>
      <c r="H34" s="69">
        <v>60</v>
      </c>
      <c r="I34" s="69">
        <f t="shared" si="0"/>
        <v>300</v>
      </c>
    </row>
    <row r="35" spans="2:9" ht="18.75" x14ac:dyDescent="0.25">
      <c r="B35" s="189" t="s">
        <v>785</v>
      </c>
      <c r="C35" s="69"/>
      <c r="D35" s="191"/>
      <c r="E35" s="69"/>
      <c r="F35" s="69"/>
      <c r="G35" s="189">
        <f t="shared" si="1"/>
        <v>0</v>
      </c>
      <c r="H35" s="69">
        <v>0.6</v>
      </c>
      <c r="I35" s="69">
        <f t="shared" si="0"/>
        <v>0</v>
      </c>
    </row>
    <row r="36" spans="2:9" ht="18.75" x14ac:dyDescent="0.25">
      <c r="B36" s="189" t="s">
        <v>781</v>
      </c>
      <c r="C36" s="69"/>
      <c r="D36" s="217">
        <v>5</v>
      </c>
      <c r="E36" s="69"/>
      <c r="F36" s="69"/>
      <c r="G36" s="189">
        <f t="shared" si="1"/>
        <v>5</v>
      </c>
      <c r="H36" s="69"/>
      <c r="I36" s="69">
        <f t="shared" si="0"/>
        <v>0</v>
      </c>
    </row>
    <row r="37" spans="2:9" ht="18.75" x14ac:dyDescent="0.25">
      <c r="B37" s="189" t="s">
        <v>772</v>
      </c>
      <c r="C37" s="69"/>
      <c r="D37" s="191"/>
      <c r="E37" s="69"/>
      <c r="F37" s="69"/>
      <c r="G37" s="189">
        <f t="shared" si="1"/>
        <v>0</v>
      </c>
      <c r="H37" s="69"/>
      <c r="I37" s="69">
        <f t="shared" si="0"/>
        <v>0</v>
      </c>
    </row>
    <row r="38" spans="2:9" ht="18.75" x14ac:dyDescent="0.25">
      <c r="B38" s="189" t="s">
        <v>765</v>
      </c>
      <c r="C38" s="189"/>
      <c r="D38" s="189"/>
      <c r="E38" s="189"/>
      <c r="F38" s="189"/>
      <c r="G38" s="189">
        <f t="shared" si="1"/>
        <v>0</v>
      </c>
      <c r="H38" s="69">
        <v>5.08</v>
      </c>
      <c r="I38" s="69">
        <f t="shared" si="0"/>
        <v>0</v>
      </c>
    </row>
    <row r="39" spans="2:9" ht="18.75" x14ac:dyDescent="0.25">
      <c r="B39" s="189" t="s">
        <v>850</v>
      </c>
      <c r="C39" s="69"/>
      <c r="D39" s="69"/>
      <c r="E39" s="69"/>
      <c r="F39" s="190"/>
      <c r="G39" s="189">
        <f t="shared" si="1"/>
        <v>0</v>
      </c>
      <c r="H39" s="69">
        <v>5.93</v>
      </c>
      <c r="I39" s="69">
        <f t="shared" si="0"/>
        <v>0</v>
      </c>
    </row>
    <row r="40" spans="2:9" ht="18.75" x14ac:dyDescent="0.25">
      <c r="B40" s="189" t="s">
        <v>768</v>
      </c>
      <c r="C40" s="189">
        <v>10</v>
      </c>
      <c r="D40" s="191"/>
      <c r="E40" s="69"/>
      <c r="F40" s="69"/>
      <c r="G40" s="189">
        <f t="shared" si="1"/>
        <v>10</v>
      </c>
      <c r="H40" s="69"/>
      <c r="I40" s="69">
        <f t="shared" si="0"/>
        <v>0</v>
      </c>
    </row>
    <row r="41" spans="2:9" ht="18.75" x14ac:dyDescent="0.25">
      <c r="B41" s="208" t="s">
        <v>986</v>
      </c>
      <c r="I41" s="203">
        <f>SUM(I3:I40)</f>
        <v>1281.8</v>
      </c>
    </row>
    <row r="42" spans="2:9" ht="18.75" x14ac:dyDescent="0.25">
      <c r="B42" s="208"/>
    </row>
    <row r="43" spans="2:9" ht="18.75" x14ac:dyDescent="0.25">
      <c r="B43" s="216"/>
    </row>
    <row r="44" spans="2:9" ht="18.75" x14ac:dyDescent="0.25">
      <c r="B44" s="216"/>
    </row>
    <row r="45" spans="2:9" ht="18.75" x14ac:dyDescent="0.25">
      <c r="B45" s="216"/>
    </row>
  </sheetData>
  <sortState xmlns:xlrd2="http://schemas.microsoft.com/office/spreadsheetml/2017/richdata2" ref="B3:I40">
    <sortCondition ref="B3:B40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B1:F385"/>
  <sheetViews>
    <sheetView workbookViewId="0">
      <selection activeCell="B20" sqref="B20:F20"/>
    </sheetView>
  </sheetViews>
  <sheetFormatPr defaultColWidth="11.765625" defaultRowHeight="13.5" x14ac:dyDescent="0.15"/>
  <sheetData>
    <row r="1" spans="2:6" ht="15" x14ac:dyDescent="0.2">
      <c r="B1" s="293" t="s">
        <v>32</v>
      </c>
      <c r="C1" s="294"/>
      <c r="D1" s="294"/>
      <c r="E1" s="294"/>
      <c r="F1" s="294"/>
    </row>
    <row r="2" spans="2:6" ht="15" x14ac:dyDescent="0.2">
      <c r="B2" s="95"/>
      <c r="C2" s="95"/>
      <c r="D2" s="95"/>
      <c r="E2" s="95"/>
      <c r="F2" s="95"/>
    </row>
    <row r="3" spans="2:6" ht="15.75" thickBot="1" x14ac:dyDescent="0.25">
      <c r="B3" s="30"/>
      <c r="C3" s="30"/>
      <c r="D3" s="96"/>
      <c r="E3" s="30"/>
      <c r="F3" s="30"/>
    </row>
    <row r="4" spans="2:6" ht="15" x14ac:dyDescent="0.2">
      <c r="B4" s="264" t="s">
        <v>585</v>
      </c>
      <c r="C4" s="265"/>
      <c r="D4" s="265"/>
      <c r="E4" s="265"/>
      <c r="F4" s="265"/>
    </row>
    <row r="5" spans="2:6" ht="15" x14ac:dyDescent="0.2">
      <c r="B5" s="97"/>
      <c r="C5" s="98" t="s">
        <v>586</v>
      </c>
      <c r="D5" s="98" t="s">
        <v>31</v>
      </c>
      <c r="E5" s="98" t="s">
        <v>2</v>
      </c>
      <c r="F5" s="99" t="s">
        <v>587</v>
      </c>
    </row>
    <row r="6" spans="2:6" ht="15" x14ac:dyDescent="0.2">
      <c r="B6" s="100" t="s">
        <v>588</v>
      </c>
      <c r="C6" s="101">
        <v>1000</v>
      </c>
      <c r="D6" s="102">
        <v>1000</v>
      </c>
      <c r="E6" s="103">
        <v>0</v>
      </c>
      <c r="F6" s="104">
        <f t="shared" ref="F6:F13" si="0">(C6*E6)/D6</f>
        <v>0</v>
      </c>
    </row>
    <row r="7" spans="2:6" ht="15.75" x14ac:dyDescent="0.2">
      <c r="B7" s="105" t="s">
        <v>589</v>
      </c>
      <c r="C7" s="44">
        <v>20</v>
      </c>
      <c r="D7" s="44">
        <v>1000</v>
      </c>
      <c r="E7" s="106">
        <v>1.82</v>
      </c>
      <c r="F7" s="107">
        <f t="shared" si="0"/>
        <v>3.6400000000000002E-2</v>
      </c>
    </row>
    <row r="8" spans="2:6" ht="30" x14ac:dyDescent="0.2">
      <c r="B8" s="105" t="s">
        <v>590</v>
      </c>
      <c r="C8" s="44">
        <v>10</v>
      </c>
      <c r="D8" s="44">
        <v>1000</v>
      </c>
      <c r="E8" s="106">
        <v>3.42</v>
      </c>
      <c r="F8" s="107">
        <f t="shared" si="0"/>
        <v>3.4200000000000001E-2</v>
      </c>
    </row>
    <row r="9" spans="2:6" ht="15.75" x14ac:dyDescent="0.2">
      <c r="B9" s="105" t="s">
        <v>591</v>
      </c>
      <c r="C9" s="44">
        <v>5</v>
      </c>
      <c r="D9" s="44">
        <v>250</v>
      </c>
      <c r="E9" s="106">
        <v>5.6</v>
      </c>
      <c r="F9" s="107">
        <f t="shared" si="0"/>
        <v>0.112</v>
      </c>
    </row>
    <row r="10" spans="2:6" ht="30" x14ac:dyDescent="0.2">
      <c r="B10" s="105" t="s">
        <v>592</v>
      </c>
      <c r="C10" s="44">
        <v>5</v>
      </c>
      <c r="D10" s="44">
        <v>1000</v>
      </c>
      <c r="E10" s="106">
        <v>3.9</v>
      </c>
      <c r="F10" s="107">
        <f t="shared" si="0"/>
        <v>1.95E-2</v>
      </c>
    </row>
    <row r="11" spans="2:6" ht="15" x14ac:dyDescent="0.2">
      <c r="B11" s="105" t="s">
        <v>252</v>
      </c>
      <c r="C11" s="44">
        <v>2</v>
      </c>
      <c r="D11" s="44">
        <v>1000</v>
      </c>
      <c r="E11" s="106">
        <v>0.5</v>
      </c>
      <c r="F11" s="107">
        <f t="shared" si="0"/>
        <v>1E-3</v>
      </c>
    </row>
    <row r="12" spans="2:6" ht="15" x14ac:dyDescent="0.2">
      <c r="B12" s="105" t="s">
        <v>593</v>
      </c>
      <c r="C12" s="44">
        <v>4</v>
      </c>
      <c r="D12" s="44">
        <v>1000</v>
      </c>
      <c r="E12" s="106">
        <v>1.1299999999999999</v>
      </c>
      <c r="F12" s="107">
        <f t="shared" si="0"/>
        <v>4.5199999999999997E-3</v>
      </c>
    </row>
    <row r="13" spans="2:6" ht="15" x14ac:dyDescent="0.2">
      <c r="B13" s="105" t="s">
        <v>594</v>
      </c>
      <c r="C13" s="44">
        <v>4</v>
      </c>
      <c r="D13" s="44">
        <v>60</v>
      </c>
      <c r="E13" s="106">
        <v>14.5</v>
      </c>
      <c r="F13" s="107">
        <f t="shared" si="0"/>
        <v>0.96666666666666667</v>
      </c>
    </row>
    <row r="14" spans="2:6" ht="15" x14ac:dyDescent="0.2">
      <c r="B14" s="105"/>
      <c r="C14" s="44"/>
      <c r="D14" s="108"/>
      <c r="E14" s="109" t="s">
        <v>595</v>
      </c>
      <c r="F14" s="104">
        <f>F6+F7+F8+F9+F10+F11+F12+F13</f>
        <v>1.1742866666666667</v>
      </c>
    </row>
    <row r="15" spans="2:6" ht="15" x14ac:dyDescent="0.2">
      <c r="B15" s="110"/>
      <c r="C15" s="111"/>
      <c r="D15" s="112"/>
      <c r="E15" s="113" t="s">
        <v>596</v>
      </c>
      <c r="F15" s="114">
        <f>(F14*21%)+F14</f>
        <v>1.4208868666666667</v>
      </c>
    </row>
    <row r="16" spans="2:6" ht="15.75" customHeight="1" x14ac:dyDescent="0.2">
      <c r="B16" s="248" t="s">
        <v>597</v>
      </c>
      <c r="C16" s="295" t="s">
        <v>598</v>
      </c>
      <c r="D16" s="296"/>
      <c r="E16" s="296"/>
      <c r="F16" s="297"/>
    </row>
    <row r="17" spans="2:6" ht="15" x14ac:dyDescent="0.2">
      <c r="B17" s="249"/>
      <c r="C17" s="298"/>
      <c r="D17" s="299"/>
      <c r="E17" s="299"/>
      <c r="F17" s="300"/>
    </row>
    <row r="18" spans="2:6" ht="15" x14ac:dyDescent="0.2">
      <c r="B18" s="115"/>
      <c r="C18" s="30"/>
      <c r="D18" s="96"/>
      <c r="E18" s="30"/>
      <c r="F18" s="42"/>
    </row>
    <row r="19" spans="2:6" ht="15" x14ac:dyDescent="0.2">
      <c r="B19" s="115"/>
      <c r="C19" s="30"/>
      <c r="D19" s="96"/>
      <c r="E19" s="30"/>
      <c r="F19" s="42"/>
    </row>
    <row r="20" spans="2:6" ht="15.75" customHeight="1" x14ac:dyDescent="0.2">
      <c r="B20" s="292" t="s">
        <v>599</v>
      </c>
      <c r="C20" s="286"/>
      <c r="D20" s="286"/>
      <c r="E20" s="286"/>
      <c r="F20" s="273"/>
    </row>
    <row r="21" spans="2:6" ht="15" x14ac:dyDescent="0.2">
      <c r="B21" s="116"/>
      <c r="C21" s="117" t="s">
        <v>586</v>
      </c>
      <c r="D21" s="117" t="s">
        <v>31</v>
      </c>
      <c r="E21" s="117" t="s">
        <v>2</v>
      </c>
      <c r="F21" s="117" t="s">
        <v>587</v>
      </c>
    </row>
    <row r="22" spans="2:6" ht="30" x14ac:dyDescent="0.2">
      <c r="B22" s="105" t="s">
        <v>600</v>
      </c>
      <c r="C22" s="44">
        <v>900</v>
      </c>
      <c r="D22" s="108">
        <v>700</v>
      </c>
      <c r="E22" s="118">
        <v>7</v>
      </c>
      <c r="F22" s="107">
        <v>7</v>
      </c>
    </row>
    <row r="23" spans="2:6" ht="15" x14ac:dyDescent="0.2">
      <c r="B23" s="105" t="s">
        <v>601</v>
      </c>
      <c r="C23" s="44">
        <v>160</v>
      </c>
      <c r="D23" s="108">
        <v>1000</v>
      </c>
      <c r="E23" s="118">
        <v>5</v>
      </c>
      <c r="F23" s="107">
        <f>(C23*E23)/D23</f>
        <v>0.8</v>
      </c>
    </row>
    <row r="24" spans="2:6" ht="15" x14ac:dyDescent="0.2">
      <c r="B24" s="105" t="s">
        <v>58</v>
      </c>
      <c r="C24" s="44">
        <v>300</v>
      </c>
      <c r="D24" s="108">
        <v>1000</v>
      </c>
      <c r="E24" s="118">
        <v>1.76</v>
      </c>
      <c r="F24" s="107">
        <f>(C24*E24)/D24</f>
        <v>0.52800000000000002</v>
      </c>
    </row>
    <row r="25" spans="2:6" ht="15" x14ac:dyDescent="0.2">
      <c r="B25" s="105"/>
      <c r="C25" s="44"/>
      <c r="D25" s="44"/>
      <c r="E25" s="106"/>
      <c r="F25" s="107"/>
    </row>
    <row r="26" spans="2:6" ht="15" x14ac:dyDescent="0.2">
      <c r="B26" s="105"/>
      <c r="C26" s="44"/>
      <c r="D26" s="108"/>
      <c r="E26" s="109" t="s">
        <v>595</v>
      </c>
      <c r="F26" s="104">
        <f>F22+F23+F24+F25</f>
        <v>8.3279999999999994</v>
      </c>
    </row>
    <row r="27" spans="2:6" ht="15.75" thickBot="1" x14ac:dyDescent="0.25">
      <c r="B27" s="119"/>
      <c r="C27" s="120"/>
      <c r="D27" s="121"/>
      <c r="E27" s="113" t="s">
        <v>596</v>
      </c>
      <c r="F27" s="114">
        <f>(F26*21%)+F26</f>
        <v>10.076879999999999</v>
      </c>
    </row>
    <row r="28" spans="2:6" ht="31.5" customHeight="1" x14ac:dyDescent="0.2">
      <c r="B28" s="122" t="s">
        <v>597</v>
      </c>
      <c r="C28" s="254" t="s">
        <v>602</v>
      </c>
      <c r="D28" s="283"/>
      <c r="E28" s="283"/>
      <c r="F28" s="284"/>
    </row>
    <row r="29" spans="2:6" ht="15" x14ac:dyDescent="0.2">
      <c r="B29" s="115"/>
      <c r="C29" s="30"/>
      <c r="D29" s="96"/>
      <c r="E29" s="30"/>
      <c r="F29" s="42"/>
    </row>
    <row r="30" spans="2:6" ht="15" x14ac:dyDescent="0.2">
      <c r="B30" s="115"/>
      <c r="C30" s="30"/>
      <c r="D30" s="96"/>
      <c r="E30" s="30"/>
      <c r="F30" s="42"/>
    </row>
    <row r="31" spans="2:6" ht="15" x14ac:dyDescent="0.2">
      <c r="B31" s="285" t="s">
        <v>603</v>
      </c>
      <c r="C31" s="286"/>
      <c r="D31" s="286"/>
      <c r="E31" s="286"/>
      <c r="F31" s="273"/>
    </row>
    <row r="32" spans="2:6" ht="15" x14ac:dyDescent="0.2">
      <c r="B32" s="97"/>
      <c r="C32" s="123" t="s">
        <v>586</v>
      </c>
      <c r="D32" s="124" t="s">
        <v>31</v>
      </c>
      <c r="E32" s="125" t="s">
        <v>2</v>
      </c>
      <c r="F32" s="99" t="s">
        <v>587</v>
      </c>
    </row>
    <row r="33" spans="2:6" ht="15" x14ac:dyDescent="0.2">
      <c r="B33" s="126" t="s">
        <v>588</v>
      </c>
      <c r="C33" s="44">
        <v>1000</v>
      </c>
      <c r="D33" s="44">
        <v>1000</v>
      </c>
      <c r="E33" s="106">
        <v>0</v>
      </c>
      <c r="F33" s="107">
        <f>(C33*E33)/D33</f>
        <v>0</v>
      </c>
    </row>
    <row r="34" spans="2:6" ht="15" x14ac:dyDescent="0.2">
      <c r="B34" s="126" t="s">
        <v>271</v>
      </c>
      <c r="C34" s="44">
        <v>10</v>
      </c>
      <c r="D34" s="44">
        <v>50</v>
      </c>
      <c r="E34" s="106">
        <v>3.5</v>
      </c>
      <c r="F34" s="107">
        <f>(C34*E34)/D34</f>
        <v>0.7</v>
      </c>
    </row>
    <row r="35" spans="2:6" ht="15" x14ac:dyDescent="0.2">
      <c r="B35" s="105" t="s">
        <v>58</v>
      </c>
      <c r="C35" s="44">
        <v>100</v>
      </c>
      <c r="D35" s="44">
        <v>1000</v>
      </c>
      <c r="E35" s="106">
        <v>1.76</v>
      </c>
      <c r="F35" s="107">
        <f>(C35*E35)/D35</f>
        <v>0.17599999999999999</v>
      </c>
    </row>
    <row r="36" spans="2:6" ht="15" x14ac:dyDescent="0.2">
      <c r="B36" s="126"/>
      <c r="C36" s="44"/>
      <c r="D36" s="44"/>
      <c r="E36" s="109" t="s">
        <v>595</v>
      </c>
      <c r="F36" s="104">
        <f>SUM(F33:F35)</f>
        <v>0.87599999999999989</v>
      </c>
    </row>
    <row r="37" spans="2:6" ht="15" x14ac:dyDescent="0.2">
      <c r="B37" s="126"/>
      <c r="C37" s="44"/>
      <c r="D37" s="44"/>
      <c r="E37" s="113" t="s">
        <v>596</v>
      </c>
      <c r="F37" s="114">
        <f>(F36*21%)+F36</f>
        <v>1.0599599999999998</v>
      </c>
    </row>
    <row r="38" spans="2:6" ht="14.25" customHeight="1" x14ac:dyDescent="0.15">
      <c r="B38" s="248" t="s">
        <v>597</v>
      </c>
      <c r="C38" s="250" t="s">
        <v>604</v>
      </c>
      <c r="D38" s="251"/>
      <c r="E38" s="251"/>
      <c r="F38" s="252"/>
    </row>
    <row r="39" spans="2:6" ht="14.25" customHeight="1" x14ac:dyDescent="0.15">
      <c r="B39" s="249"/>
      <c r="C39" s="253"/>
      <c r="D39" s="254"/>
      <c r="E39" s="254"/>
      <c r="F39" s="255"/>
    </row>
    <row r="40" spans="2:6" ht="15" x14ac:dyDescent="0.2">
      <c r="B40" s="30"/>
      <c r="C40" s="30"/>
      <c r="D40" s="30"/>
      <c r="E40" s="30"/>
      <c r="F40" s="42"/>
    </row>
    <row r="41" spans="2:6" ht="15" x14ac:dyDescent="0.2">
      <c r="B41" s="30"/>
      <c r="C41" s="30"/>
      <c r="D41" s="30"/>
      <c r="E41" s="30"/>
      <c r="F41" s="42"/>
    </row>
    <row r="42" spans="2:6" ht="15" x14ac:dyDescent="0.2">
      <c r="B42" s="285" t="s">
        <v>605</v>
      </c>
      <c r="C42" s="286"/>
      <c r="D42" s="286"/>
      <c r="E42" s="286"/>
      <c r="F42" s="273"/>
    </row>
    <row r="43" spans="2:6" ht="15" x14ac:dyDescent="0.2">
      <c r="B43" s="97"/>
      <c r="C43" s="98" t="s">
        <v>586</v>
      </c>
      <c r="D43" s="98" t="s">
        <v>31</v>
      </c>
      <c r="E43" s="98" t="s">
        <v>2</v>
      </c>
      <c r="F43" s="99" t="s">
        <v>606</v>
      </c>
    </row>
    <row r="44" spans="2:6" ht="30" x14ac:dyDescent="0.2">
      <c r="B44" s="127" t="s">
        <v>607</v>
      </c>
      <c r="C44" s="101">
        <v>1200</v>
      </c>
      <c r="D44" s="101">
        <v>700</v>
      </c>
      <c r="E44" s="103">
        <v>7</v>
      </c>
      <c r="F44" s="104">
        <f>(C44*E44)/D44</f>
        <v>12</v>
      </c>
    </row>
    <row r="45" spans="2:6" ht="15" x14ac:dyDescent="0.2">
      <c r="B45" s="126" t="s">
        <v>269</v>
      </c>
      <c r="C45" s="44">
        <v>12</v>
      </c>
      <c r="D45" s="44">
        <v>40</v>
      </c>
      <c r="E45" s="106">
        <v>4</v>
      </c>
      <c r="F45" s="107">
        <f>(C45*E45)/D45</f>
        <v>1.2</v>
      </c>
    </row>
    <row r="46" spans="2:6" ht="15" x14ac:dyDescent="0.2">
      <c r="B46" s="105" t="s">
        <v>37</v>
      </c>
      <c r="C46" s="44">
        <v>400</v>
      </c>
      <c r="D46" s="44">
        <v>1000</v>
      </c>
      <c r="E46" s="128">
        <v>2</v>
      </c>
      <c r="F46" s="107">
        <f>(C46*E46)/D46</f>
        <v>0.8</v>
      </c>
    </row>
    <row r="47" spans="2:6" ht="15" x14ac:dyDescent="0.2">
      <c r="B47" s="105"/>
      <c r="C47" s="44"/>
      <c r="D47" s="44"/>
      <c r="E47" s="106"/>
      <c r="F47" s="107"/>
    </row>
    <row r="48" spans="2:6" ht="15" x14ac:dyDescent="0.2">
      <c r="B48" s="126"/>
      <c r="C48" s="44"/>
      <c r="D48" s="44"/>
      <c r="E48" s="109" t="s">
        <v>595</v>
      </c>
      <c r="F48" s="104">
        <f>SUM(F44:F46)</f>
        <v>14</v>
      </c>
    </row>
    <row r="49" spans="2:6" ht="15" x14ac:dyDescent="0.2">
      <c r="B49" s="113"/>
      <c r="C49" s="111"/>
      <c r="D49" s="111"/>
      <c r="E49" s="113" t="s">
        <v>596</v>
      </c>
      <c r="F49" s="114">
        <f>(F48*21%)+F48</f>
        <v>16.940000000000001</v>
      </c>
    </row>
    <row r="50" spans="2:6" ht="31.5" customHeight="1" x14ac:dyDescent="0.2">
      <c r="B50" s="129" t="s">
        <v>597</v>
      </c>
      <c r="C50" s="287" t="s">
        <v>608</v>
      </c>
      <c r="D50" s="288"/>
      <c r="E50" s="288"/>
      <c r="F50" s="289"/>
    </row>
    <row r="51" spans="2:6" ht="15" x14ac:dyDescent="0.2">
      <c r="B51" s="30"/>
      <c r="C51" s="30"/>
      <c r="D51" s="30"/>
      <c r="E51" s="30"/>
      <c r="F51" s="30"/>
    </row>
    <row r="52" spans="2:6" ht="15" x14ac:dyDescent="0.2">
      <c r="B52" s="30"/>
      <c r="C52" s="30"/>
      <c r="D52" s="30"/>
      <c r="E52" s="30"/>
      <c r="F52" s="30"/>
    </row>
    <row r="53" spans="2:6" ht="15" x14ac:dyDescent="0.2">
      <c r="B53" s="239" t="s">
        <v>609</v>
      </c>
      <c r="C53" s="269"/>
      <c r="D53" s="269"/>
      <c r="E53" s="269"/>
      <c r="F53" s="270"/>
    </row>
    <row r="54" spans="2:6" ht="15" x14ac:dyDescent="0.2">
      <c r="B54" s="130"/>
      <c r="C54" s="131" t="s">
        <v>586</v>
      </c>
      <c r="D54" s="131" t="s">
        <v>31</v>
      </c>
      <c r="E54" s="132" t="s">
        <v>2</v>
      </c>
      <c r="F54" s="133" t="s">
        <v>606</v>
      </c>
    </row>
    <row r="55" spans="2:6" ht="15" x14ac:dyDescent="0.2">
      <c r="B55" s="109" t="s">
        <v>588</v>
      </c>
      <c r="C55" s="101">
        <v>900</v>
      </c>
      <c r="D55" s="101">
        <v>1000</v>
      </c>
      <c r="E55" s="101">
        <v>0</v>
      </c>
      <c r="F55" s="104">
        <f t="shared" ref="F55:F63" si="1">(C55*E55)/D55</f>
        <v>0</v>
      </c>
    </row>
    <row r="56" spans="2:6" ht="15.75" x14ac:dyDescent="0.2">
      <c r="B56" s="105" t="s">
        <v>610</v>
      </c>
      <c r="C56" s="44">
        <v>24</v>
      </c>
      <c r="D56" s="44">
        <v>60</v>
      </c>
      <c r="E56" s="106">
        <v>3</v>
      </c>
      <c r="F56" s="107">
        <f t="shared" si="1"/>
        <v>1.2</v>
      </c>
    </row>
    <row r="57" spans="2:6" ht="15.75" x14ac:dyDescent="0.2">
      <c r="B57" s="105" t="s">
        <v>611</v>
      </c>
      <c r="C57" s="44">
        <v>12</v>
      </c>
      <c r="D57" s="44">
        <v>100</v>
      </c>
      <c r="E57" s="106">
        <v>1.35</v>
      </c>
      <c r="F57" s="107">
        <f t="shared" si="1"/>
        <v>0.16200000000000003</v>
      </c>
    </row>
    <row r="58" spans="2:6" ht="15" x14ac:dyDescent="0.2">
      <c r="B58" s="105" t="s">
        <v>612</v>
      </c>
      <c r="C58" s="44">
        <v>9</v>
      </c>
      <c r="D58" s="44">
        <v>1000</v>
      </c>
      <c r="E58" s="106">
        <v>1.82</v>
      </c>
      <c r="F58" s="107">
        <f t="shared" si="1"/>
        <v>1.6379999999999999E-2</v>
      </c>
    </row>
    <row r="59" spans="2:6" ht="30" x14ac:dyDescent="0.2">
      <c r="B59" s="105" t="s">
        <v>613</v>
      </c>
      <c r="C59" s="44">
        <v>3</v>
      </c>
      <c r="D59" s="44">
        <v>1000</v>
      </c>
      <c r="E59" s="106">
        <v>3.42</v>
      </c>
      <c r="F59" s="107">
        <f t="shared" si="1"/>
        <v>1.026E-2</v>
      </c>
    </row>
    <row r="60" spans="2:6" ht="15" x14ac:dyDescent="0.2">
      <c r="B60" s="105" t="s">
        <v>614</v>
      </c>
      <c r="C60" s="44">
        <v>3</v>
      </c>
      <c r="D60" s="44">
        <v>500</v>
      </c>
      <c r="E60" s="106">
        <v>5.6</v>
      </c>
      <c r="F60" s="107">
        <f t="shared" si="1"/>
        <v>3.3599999999999991E-2</v>
      </c>
    </row>
    <row r="61" spans="2:6" ht="30" x14ac:dyDescent="0.2">
      <c r="B61" s="105" t="s">
        <v>615</v>
      </c>
      <c r="C61" s="44">
        <v>9</v>
      </c>
      <c r="D61" s="44">
        <v>1000</v>
      </c>
      <c r="E61" s="106">
        <v>3.9</v>
      </c>
      <c r="F61" s="107">
        <f t="shared" si="1"/>
        <v>3.5099999999999999E-2</v>
      </c>
    </row>
    <row r="62" spans="2:6" ht="15" x14ac:dyDescent="0.2">
      <c r="B62" s="105" t="s">
        <v>593</v>
      </c>
      <c r="C62" s="44">
        <v>300</v>
      </c>
      <c r="D62" s="44">
        <v>1000</v>
      </c>
      <c r="E62" s="106">
        <v>1.4</v>
      </c>
      <c r="F62" s="107">
        <f t="shared" si="1"/>
        <v>0.42</v>
      </c>
    </row>
    <row r="63" spans="2:6" ht="15" x14ac:dyDescent="0.2">
      <c r="B63" s="105" t="s">
        <v>594</v>
      </c>
      <c r="C63" s="44">
        <v>6</v>
      </c>
      <c r="D63" s="44">
        <v>60</v>
      </c>
      <c r="E63" s="106">
        <v>14.5</v>
      </c>
      <c r="F63" s="107">
        <f t="shared" si="1"/>
        <v>1.45</v>
      </c>
    </row>
    <row r="64" spans="2:6" ht="15" x14ac:dyDescent="0.2">
      <c r="B64" s="126"/>
      <c r="C64" s="44"/>
      <c r="D64" s="44"/>
      <c r="E64" s="109" t="s">
        <v>595</v>
      </c>
      <c r="F64" s="104">
        <f>SUM(F55:F63)</f>
        <v>3.32734</v>
      </c>
    </row>
    <row r="65" spans="2:6" ht="15" x14ac:dyDescent="0.2">
      <c r="B65" s="126"/>
      <c r="C65" s="44"/>
      <c r="D65" s="44"/>
      <c r="E65" s="126" t="s">
        <v>596</v>
      </c>
      <c r="F65" s="107">
        <f>(F64*21%)+F64</f>
        <v>4.0260813999999998</v>
      </c>
    </row>
    <row r="66" spans="2:6" ht="31.5" customHeight="1" x14ac:dyDescent="0.2">
      <c r="B66" s="9" t="s">
        <v>597</v>
      </c>
      <c r="C66" s="274" t="s">
        <v>616</v>
      </c>
      <c r="D66" s="290"/>
      <c r="E66" s="290"/>
      <c r="F66" s="291"/>
    </row>
    <row r="67" spans="2:6" ht="15" x14ac:dyDescent="0.2">
      <c r="B67" s="30"/>
      <c r="C67" s="30"/>
      <c r="D67" s="30"/>
      <c r="E67" s="30"/>
      <c r="F67" s="30"/>
    </row>
    <row r="68" spans="2:6" ht="15.75" thickBot="1" x14ac:dyDescent="0.25">
      <c r="B68" s="30"/>
      <c r="C68" s="30"/>
      <c r="D68" s="30"/>
      <c r="E68" s="30"/>
      <c r="F68" s="30"/>
    </row>
    <row r="69" spans="2:6" ht="15.75" thickBot="1" x14ac:dyDescent="0.25">
      <c r="B69" s="264" t="s">
        <v>617</v>
      </c>
      <c r="C69" s="265"/>
      <c r="D69" s="265"/>
      <c r="E69" s="265"/>
      <c r="F69" s="266"/>
    </row>
    <row r="70" spans="2:6" ht="15.75" thickBot="1" x14ac:dyDescent="0.25">
      <c r="B70" s="134"/>
      <c r="C70" s="135" t="s">
        <v>586</v>
      </c>
      <c r="D70" s="135" t="s">
        <v>31</v>
      </c>
      <c r="E70" s="135" t="s">
        <v>2</v>
      </c>
      <c r="F70" s="135" t="s">
        <v>587</v>
      </c>
    </row>
    <row r="71" spans="2:6" ht="30" x14ac:dyDescent="0.2">
      <c r="B71" s="136" t="s">
        <v>607</v>
      </c>
      <c r="C71" s="44">
        <v>500</v>
      </c>
      <c r="D71" s="137">
        <v>700</v>
      </c>
      <c r="E71" s="106">
        <v>15</v>
      </c>
      <c r="F71" s="138">
        <f>(C71*E71)/D71</f>
        <v>10.714285714285714</v>
      </c>
    </row>
    <row r="72" spans="2:6" ht="15.75" x14ac:dyDescent="0.2">
      <c r="B72" s="139" t="s">
        <v>269</v>
      </c>
      <c r="C72" s="44">
        <v>5</v>
      </c>
      <c r="D72" s="44">
        <v>1000</v>
      </c>
      <c r="E72" s="106">
        <v>3</v>
      </c>
      <c r="F72" s="138">
        <f>(C72*E72)/D72</f>
        <v>1.4999999999999999E-2</v>
      </c>
    </row>
    <row r="73" spans="2:6" ht="15.75" thickBot="1" x14ac:dyDescent="0.25">
      <c r="B73" s="139" t="s">
        <v>594</v>
      </c>
      <c r="C73" s="44">
        <v>1</v>
      </c>
      <c r="D73" s="44">
        <v>60</v>
      </c>
      <c r="E73" s="106">
        <v>14.5</v>
      </c>
      <c r="F73" s="138">
        <f>(C73*E73)/D73</f>
        <v>0.24166666666666667</v>
      </c>
    </row>
    <row r="74" spans="2:6" ht="15" x14ac:dyDescent="0.2">
      <c r="B74" s="139"/>
      <c r="C74" s="44"/>
      <c r="D74" s="108"/>
      <c r="E74" s="140" t="s">
        <v>595</v>
      </c>
      <c r="F74" s="141">
        <f>F71+F72+F73</f>
        <v>10.970952380952381</v>
      </c>
    </row>
    <row r="75" spans="2:6" ht="15.75" thickBot="1" x14ac:dyDescent="0.25">
      <c r="B75" s="142"/>
      <c r="C75" s="44"/>
      <c r="D75" s="108"/>
      <c r="E75" s="143" t="s">
        <v>596</v>
      </c>
      <c r="F75" s="138">
        <f>(F74*21%)+F74</f>
        <v>13.274852380952382</v>
      </c>
    </row>
    <row r="76" spans="2:6" ht="30.75" thickBot="1" x14ac:dyDescent="0.25">
      <c r="B76" s="144" t="s">
        <v>597</v>
      </c>
      <c r="C76" s="258"/>
      <c r="D76" s="259"/>
      <c r="E76" s="259"/>
      <c r="F76" s="260"/>
    </row>
    <row r="77" spans="2:6" ht="15" x14ac:dyDescent="0.2">
      <c r="B77" s="30"/>
      <c r="C77" s="30"/>
      <c r="D77" s="30"/>
      <c r="E77" s="30"/>
      <c r="F77" s="30"/>
    </row>
    <row r="78" spans="2:6" ht="15" x14ac:dyDescent="0.2">
      <c r="B78" s="30"/>
      <c r="C78" s="30"/>
      <c r="D78" s="30"/>
      <c r="E78" s="30"/>
      <c r="F78" s="30"/>
    </row>
    <row r="79" spans="2:6" ht="15" x14ac:dyDescent="0.2">
      <c r="B79" s="239" t="s">
        <v>618</v>
      </c>
      <c r="C79" s="269"/>
      <c r="D79" s="269"/>
      <c r="E79" s="269"/>
      <c r="F79" s="270"/>
    </row>
    <row r="80" spans="2:6" ht="15" x14ac:dyDescent="0.2">
      <c r="B80" s="145"/>
      <c r="C80" s="133" t="s">
        <v>586</v>
      </c>
      <c r="D80" s="133" t="s">
        <v>31</v>
      </c>
      <c r="E80" s="133" t="s">
        <v>2</v>
      </c>
      <c r="F80" s="133" t="s">
        <v>587</v>
      </c>
    </row>
    <row r="81" spans="2:6" ht="15" x14ac:dyDescent="0.2">
      <c r="B81" s="127" t="s">
        <v>37</v>
      </c>
      <c r="C81" s="101">
        <v>1000</v>
      </c>
      <c r="D81" s="101">
        <v>1000</v>
      </c>
      <c r="E81" s="103">
        <v>1.76</v>
      </c>
      <c r="F81" s="104">
        <f>(C81*E81)/D81</f>
        <v>1.76</v>
      </c>
    </row>
    <row r="82" spans="2:6" ht="15" x14ac:dyDescent="0.2">
      <c r="B82" s="105" t="s">
        <v>619</v>
      </c>
      <c r="C82" s="44">
        <v>10</v>
      </c>
      <c r="D82" s="44">
        <v>50</v>
      </c>
      <c r="E82" s="106">
        <v>3</v>
      </c>
      <c r="F82" s="107">
        <f>(C82*E82)/D82</f>
        <v>0.6</v>
      </c>
    </row>
    <row r="83" spans="2:6" ht="15" x14ac:dyDescent="0.2">
      <c r="B83" s="105" t="s">
        <v>594</v>
      </c>
      <c r="C83" s="44">
        <v>1</v>
      </c>
      <c r="D83" s="44">
        <v>60</v>
      </c>
      <c r="E83" s="106">
        <v>14.5</v>
      </c>
      <c r="F83" s="107">
        <f>(C83*E83)/D83</f>
        <v>0.24166666666666667</v>
      </c>
    </row>
    <row r="84" spans="2:6" ht="15" x14ac:dyDescent="0.2">
      <c r="B84" s="105"/>
      <c r="C84" s="44"/>
      <c r="D84" s="108"/>
      <c r="E84" s="109" t="s">
        <v>595</v>
      </c>
      <c r="F84" s="104">
        <f>F81+F82+F83</f>
        <v>2.6016666666666666</v>
      </c>
    </row>
    <row r="85" spans="2:6" ht="15" x14ac:dyDescent="0.2">
      <c r="B85" s="105"/>
      <c r="C85" s="44"/>
      <c r="D85" s="108"/>
      <c r="E85" s="113" t="s">
        <v>596</v>
      </c>
      <c r="F85" s="114">
        <f>(F84*21%)+F84</f>
        <v>3.1480166666666665</v>
      </c>
    </row>
    <row r="86" spans="2:6" ht="31.5" customHeight="1" x14ac:dyDescent="0.2">
      <c r="B86" s="9" t="s">
        <v>597</v>
      </c>
      <c r="C86" s="274" t="s">
        <v>620</v>
      </c>
      <c r="D86" s="275"/>
      <c r="E86" s="275"/>
      <c r="F86" s="276"/>
    </row>
    <row r="87" spans="2:6" ht="15" x14ac:dyDescent="0.2">
      <c r="B87" s="30"/>
      <c r="C87" s="30"/>
      <c r="D87" s="30"/>
      <c r="E87" s="30"/>
      <c r="F87" s="30"/>
    </row>
    <row r="88" spans="2:6" ht="15" x14ac:dyDescent="0.2">
      <c r="B88" s="30"/>
      <c r="C88" s="30"/>
      <c r="D88" s="30"/>
      <c r="E88" s="30"/>
      <c r="F88" s="30"/>
    </row>
    <row r="89" spans="2:6" ht="15.75" thickBot="1" x14ac:dyDescent="0.25">
      <c r="B89" s="271" t="s">
        <v>621</v>
      </c>
      <c r="C89" s="272"/>
      <c r="D89" s="272"/>
      <c r="E89" s="272"/>
      <c r="F89" s="273"/>
    </row>
    <row r="90" spans="2:6" ht="15" x14ac:dyDescent="0.2">
      <c r="B90" s="146"/>
      <c r="C90" s="147" t="s">
        <v>586</v>
      </c>
      <c r="D90" s="147" t="s">
        <v>31</v>
      </c>
      <c r="E90" s="148" t="s">
        <v>2</v>
      </c>
      <c r="F90" s="149" t="s">
        <v>587</v>
      </c>
    </row>
    <row r="91" spans="2:6" ht="15" x14ac:dyDescent="0.2">
      <c r="B91" s="100" t="s">
        <v>37</v>
      </c>
      <c r="C91" s="101">
        <v>300</v>
      </c>
      <c r="D91" s="102">
        <v>1000</v>
      </c>
      <c r="E91" s="103">
        <v>1.76</v>
      </c>
      <c r="F91" s="104">
        <f>(C91*E91)/D91</f>
        <v>0.52800000000000002</v>
      </c>
    </row>
    <row r="92" spans="2:6" ht="15" x14ac:dyDescent="0.2">
      <c r="B92" s="105" t="s">
        <v>112</v>
      </c>
      <c r="C92" s="44">
        <v>900</v>
      </c>
      <c r="D92" s="44">
        <v>700</v>
      </c>
      <c r="E92" s="106">
        <v>6.15</v>
      </c>
      <c r="F92" s="107">
        <f>(C92*E92)/D92</f>
        <v>7.9071428571428575</v>
      </c>
    </row>
    <row r="93" spans="2:6" ht="15" x14ac:dyDescent="0.2">
      <c r="B93" s="105" t="s">
        <v>622</v>
      </c>
      <c r="C93" s="44">
        <v>50</v>
      </c>
      <c r="D93" s="44">
        <v>250</v>
      </c>
      <c r="E93" s="106">
        <v>4.5</v>
      </c>
      <c r="F93" s="107">
        <f>(C93*E93)/D93</f>
        <v>0.9</v>
      </c>
    </row>
    <row r="94" spans="2:6" ht="15" x14ac:dyDescent="0.2">
      <c r="B94" s="105" t="s">
        <v>594</v>
      </c>
      <c r="C94" s="44">
        <v>5</v>
      </c>
      <c r="D94" s="44">
        <v>60</v>
      </c>
      <c r="E94" s="106">
        <v>14.5</v>
      </c>
      <c r="F94" s="107">
        <f>(C94*E94)/D94</f>
        <v>1.2083333333333333</v>
      </c>
    </row>
    <row r="95" spans="2:6" ht="15" x14ac:dyDescent="0.2">
      <c r="B95" s="105"/>
      <c r="C95" s="44"/>
      <c r="D95" s="108"/>
      <c r="E95" s="109" t="s">
        <v>595</v>
      </c>
      <c r="F95" s="104">
        <f>F91+F92+F93+F94</f>
        <v>10.543476190476191</v>
      </c>
    </row>
    <row r="96" spans="2:6" ht="15" x14ac:dyDescent="0.2">
      <c r="B96" s="105"/>
      <c r="C96" s="44"/>
      <c r="D96" s="108"/>
      <c r="E96" s="113" t="s">
        <v>596</v>
      </c>
      <c r="F96" s="114">
        <f>(F95*21%)+F95</f>
        <v>12.757606190476192</v>
      </c>
    </row>
    <row r="97" spans="2:6" ht="31.5" customHeight="1" x14ac:dyDescent="0.2">
      <c r="B97" s="9" t="s">
        <v>597</v>
      </c>
      <c r="C97" s="274" t="s">
        <v>623</v>
      </c>
      <c r="D97" s="275"/>
      <c r="E97" s="275"/>
      <c r="F97" s="276"/>
    </row>
    <row r="98" spans="2:6" ht="15" x14ac:dyDescent="0.2">
      <c r="B98" s="30"/>
      <c r="C98" s="30"/>
      <c r="D98" s="30"/>
      <c r="E98" s="30"/>
      <c r="F98" s="30"/>
    </row>
    <row r="99" spans="2:6" ht="15" x14ac:dyDescent="0.2">
      <c r="B99" s="30"/>
      <c r="C99" s="30"/>
      <c r="D99" s="30"/>
      <c r="E99" s="30"/>
      <c r="F99" s="30"/>
    </row>
    <row r="100" spans="2:6" ht="15" x14ac:dyDescent="0.2">
      <c r="B100" s="239" t="s">
        <v>624</v>
      </c>
      <c r="C100" s="269"/>
      <c r="D100" s="269"/>
      <c r="E100" s="269"/>
      <c r="F100" s="270"/>
    </row>
    <row r="101" spans="2:6" ht="15" x14ac:dyDescent="0.2">
      <c r="B101" s="150"/>
      <c r="C101" s="131" t="s">
        <v>586</v>
      </c>
      <c r="D101" s="131" t="s">
        <v>31</v>
      </c>
      <c r="E101" s="132" t="s">
        <v>2</v>
      </c>
      <c r="F101" s="133" t="s">
        <v>587</v>
      </c>
    </row>
    <row r="102" spans="2:6" ht="15.75" x14ac:dyDescent="0.2">
      <c r="B102" s="100" t="s">
        <v>625</v>
      </c>
      <c r="C102" s="101">
        <v>10</v>
      </c>
      <c r="D102" s="102">
        <v>1000</v>
      </c>
      <c r="E102" s="103">
        <v>11</v>
      </c>
      <c r="F102" s="104">
        <f t="shared" ref="F102:F109" si="2">(C102*E102)/D102</f>
        <v>0.11</v>
      </c>
    </row>
    <row r="103" spans="2:6" ht="15" x14ac:dyDescent="0.2">
      <c r="B103" s="105" t="s">
        <v>626</v>
      </c>
      <c r="C103" s="44">
        <v>15</v>
      </c>
      <c r="D103" s="44">
        <v>1000</v>
      </c>
      <c r="E103" s="106">
        <v>2</v>
      </c>
      <c r="F103" s="107">
        <f t="shared" si="2"/>
        <v>0.03</v>
      </c>
    </row>
    <row r="104" spans="2:6" ht="30" x14ac:dyDescent="0.2">
      <c r="B104" s="105" t="s">
        <v>627</v>
      </c>
      <c r="C104" s="44">
        <v>50</v>
      </c>
      <c r="D104" s="44">
        <v>500</v>
      </c>
      <c r="E104" s="106">
        <v>2.5</v>
      </c>
      <c r="F104" s="107">
        <f t="shared" si="2"/>
        <v>0.25</v>
      </c>
    </row>
    <row r="105" spans="2:6" ht="15" x14ac:dyDescent="0.2">
      <c r="B105" s="105" t="s">
        <v>751</v>
      </c>
      <c r="C105" s="44">
        <v>20</v>
      </c>
      <c r="D105" s="44">
        <v>1000</v>
      </c>
      <c r="E105" s="106">
        <f>'Productos-precio'!D311</f>
        <v>9.2100000000000009</v>
      </c>
      <c r="F105" s="107">
        <f t="shared" si="2"/>
        <v>0.18420000000000003</v>
      </c>
    </row>
    <row r="106" spans="2:6" ht="15" x14ac:dyDescent="0.2">
      <c r="B106" s="105" t="s">
        <v>270</v>
      </c>
      <c r="C106" s="44">
        <v>0.5</v>
      </c>
      <c r="D106" s="44">
        <v>50</v>
      </c>
      <c r="E106" s="106">
        <v>4</v>
      </c>
      <c r="F106" s="107">
        <f t="shared" si="2"/>
        <v>0.04</v>
      </c>
    </row>
    <row r="107" spans="2:6" ht="15" x14ac:dyDescent="0.2">
      <c r="B107" s="105" t="s">
        <v>266</v>
      </c>
      <c r="C107" s="44">
        <v>0.2</v>
      </c>
      <c r="D107" s="44">
        <v>50</v>
      </c>
      <c r="E107" s="106">
        <v>4</v>
      </c>
      <c r="F107" s="107">
        <f t="shared" si="2"/>
        <v>1.6E-2</v>
      </c>
    </row>
    <row r="108" spans="2:6" ht="15" x14ac:dyDescent="0.2">
      <c r="B108" s="105" t="s">
        <v>252</v>
      </c>
      <c r="C108" s="44">
        <v>0.05</v>
      </c>
      <c r="D108" s="44">
        <v>1000</v>
      </c>
      <c r="E108" s="106">
        <v>1</v>
      </c>
      <c r="F108" s="107">
        <f t="shared" si="2"/>
        <v>5.0000000000000002E-5</v>
      </c>
    </row>
    <row r="109" spans="2:6" ht="15" x14ac:dyDescent="0.2">
      <c r="B109" s="105" t="s">
        <v>594</v>
      </c>
      <c r="C109" s="44"/>
      <c r="D109" s="44">
        <v>50</v>
      </c>
      <c r="E109" s="106">
        <v>14.5</v>
      </c>
      <c r="F109" s="107">
        <f t="shared" si="2"/>
        <v>0</v>
      </c>
    </row>
    <row r="110" spans="2:6" ht="15" x14ac:dyDescent="0.2">
      <c r="B110" s="105"/>
      <c r="C110" s="44"/>
      <c r="D110" s="108"/>
      <c r="E110" s="109" t="s">
        <v>595</v>
      </c>
      <c r="F110" s="104">
        <f>SUM(F102:F109)</f>
        <v>0.63025000000000009</v>
      </c>
    </row>
    <row r="111" spans="2:6" ht="15" x14ac:dyDescent="0.2">
      <c r="B111" s="105"/>
      <c r="C111" s="44"/>
      <c r="D111" s="108"/>
      <c r="E111" s="113" t="s">
        <v>596</v>
      </c>
      <c r="F111" s="114">
        <f>(F110*21%)+F110</f>
        <v>0.76260250000000007</v>
      </c>
    </row>
    <row r="112" spans="2:6" ht="31.5" customHeight="1" x14ac:dyDescent="0.2">
      <c r="B112" s="9" t="s">
        <v>597</v>
      </c>
      <c r="C112" s="277" t="s">
        <v>628</v>
      </c>
      <c r="D112" s="278"/>
      <c r="E112" s="278"/>
      <c r="F112" s="279"/>
    </row>
    <row r="113" spans="2:6" ht="15" x14ac:dyDescent="0.2">
      <c r="B113" s="30"/>
      <c r="C113" s="30"/>
      <c r="D113" s="30"/>
      <c r="E113" s="30"/>
      <c r="F113" s="30"/>
    </row>
    <row r="114" spans="2:6" ht="15.75" thickBot="1" x14ac:dyDescent="0.25">
      <c r="B114" s="30"/>
      <c r="C114" s="30"/>
      <c r="D114" s="30"/>
      <c r="E114" s="30"/>
      <c r="F114" s="30"/>
    </row>
    <row r="115" spans="2:6" ht="15.75" thickBot="1" x14ac:dyDescent="0.25">
      <c r="B115" s="264" t="s">
        <v>41</v>
      </c>
      <c r="C115" s="265"/>
      <c r="D115" s="265"/>
      <c r="E115" s="265"/>
      <c r="F115" s="266"/>
    </row>
    <row r="116" spans="2:6" ht="15" x14ac:dyDescent="0.2">
      <c r="B116" s="151"/>
      <c r="C116" s="152" t="s">
        <v>586</v>
      </c>
      <c r="D116" s="152" t="s">
        <v>31</v>
      </c>
      <c r="E116" s="152" t="s">
        <v>2</v>
      </c>
      <c r="F116" s="152" t="s">
        <v>587</v>
      </c>
    </row>
    <row r="117" spans="2:6" ht="15" x14ac:dyDescent="0.2">
      <c r="B117" s="127" t="s">
        <v>37</v>
      </c>
      <c r="C117" s="101">
        <v>900</v>
      </c>
      <c r="D117" s="101">
        <v>1000</v>
      </c>
      <c r="E117" s="103">
        <v>1.76</v>
      </c>
      <c r="F117" s="104">
        <f>(C117*E117)/D117</f>
        <v>1.5840000000000001</v>
      </c>
    </row>
    <row r="118" spans="2:6" ht="15" x14ac:dyDescent="0.2">
      <c r="B118" s="105" t="s">
        <v>629</v>
      </c>
      <c r="C118" s="44">
        <v>60</v>
      </c>
      <c r="D118" s="44">
        <v>1000</v>
      </c>
      <c r="E118" s="106">
        <v>1.5</v>
      </c>
      <c r="F118" s="107">
        <f>(C118*E118)/D118</f>
        <v>0.09</v>
      </c>
    </row>
    <row r="119" spans="2:6" ht="15.75" thickBot="1" x14ac:dyDescent="0.25">
      <c r="B119" s="105" t="s">
        <v>594</v>
      </c>
      <c r="C119" s="44">
        <v>3</v>
      </c>
      <c r="D119" s="44">
        <v>60</v>
      </c>
      <c r="E119" s="106">
        <v>14.5</v>
      </c>
      <c r="F119" s="107">
        <f>(C119*E119)/D119</f>
        <v>0.72499999999999998</v>
      </c>
    </row>
    <row r="120" spans="2:6" ht="15" x14ac:dyDescent="0.2">
      <c r="B120" s="105"/>
      <c r="C120" s="44"/>
      <c r="D120" s="108"/>
      <c r="E120" s="140" t="s">
        <v>595</v>
      </c>
      <c r="F120" s="153">
        <f>F117+F118+F119</f>
        <v>2.399</v>
      </c>
    </row>
    <row r="121" spans="2:6" ht="15.75" thickBot="1" x14ac:dyDescent="0.25">
      <c r="B121" s="119"/>
      <c r="C121" s="120"/>
      <c r="D121" s="121"/>
      <c r="E121" s="154" t="s">
        <v>596</v>
      </c>
      <c r="F121" s="155">
        <f>(F120*21%)+F120</f>
        <v>2.90279</v>
      </c>
    </row>
    <row r="122" spans="2:6" ht="31.5" customHeight="1" x14ac:dyDescent="0.2">
      <c r="B122" s="156" t="s">
        <v>597</v>
      </c>
      <c r="C122" s="280" t="s">
        <v>630</v>
      </c>
      <c r="D122" s="281"/>
      <c r="E122" s="281"/>
      <c r="F122" s="282"/>
    </row>
    <row r="123" spans="2:6" ht="15" x14ac:dyDescent="0.2">
      <c r="B123" s="30"/>
      <c r="C123" s="30"/>
      <c r="D123" s="30"/>
      <c r="E123" s="30"/>
      <c r="F123" s="30"/>
    </row>
    <row r="124" spans="2:6" ht="15" x14ac:dyDescent="0.2">
      <c r="B124" s="30"/>
      <c r="C124" s="30"/>
      <c r="D124" s="30"/>
      <c r="E124" s="30"/>
      <c r="F124" s="30"/>
    </row>
    <row r="125" spans="2:6" ht="15" x14ac:dyDescent="0.2">
      <c r="B125" s="239" t="s">
        <v>37</v>
      </c>
      <c r="C125" s="269"/>
      <c r="D125" s="269"/>
      <c r="E125" s="269"/>
      <c r="F125" s="270"/>
    </row>
    <row r="126" spans="2:6" ht="15.75" thickBot="1" x14ac:dyDescent="0.25">
      <c r="B126" s="150"/>
      <c r="C126" s="131" t="s">
        <v>586</v>
      </c>
      <c r="D126" s="131" t="s">
        <v>31</v>
      </c>
      <c r="E126" s="132" t="s">
        <v>2</v>
      </c>
      <c r="F126" s="157" t="s">
        <v>587</v>
      </c>
    </row>
    <row r="127" spans="2:6" ht="15" x14ac:dyDescent="0.2">
      <c r="B127" s="158" t="s">
        <v>588</v>
      </c>
      <c r="C127" s="159">
        <v>500</v>
      </c>
      <c r="D127" s="160">
        <v>1000</v>
      </c>
      <c r="E127" s="161">
        <v>0</v>
      </c>
      <c r="F127" s="138">
        <f>(C127*E127)/D127</f>
        <v>0</v>
      </c>
    </row>
    <row r="128" spans="2:6" ht="15.75" x14ac:dyDescent="0.2">
      <c r="B128" s="139" t="s">
        <v>631</v>
      </c>
      <c r="C128" s="44">
        <v>1000</v>
      </c>
      <c r="D128" s="44">
        <v>1000</v>
      </c>
      <c r="E128" s="106">
        <f>[3]PRODUCTOS!J11</f>
        <v>1.65</v>
      </c>
      <c r="F128" s="138">
        <f>(C128*E128)/D128</f>
        <v>1.65</v>
      </c>
    </row>
    <row r="129" spans="2:6" ht="15.75" thickBot="1" x14ac:dyDescent="0.25">
      <c r="B129" s="139" t="s">
        <v>594</v>
      </c>
      <c r="C129" s="44">
        <v>4</v>
      </c>
      <c r="D129" s="44">
        <v>60</v>
      </c>
      <c r="E129" s="106">
        <v>14.5</v>
      </c>
      <c r="F129" s="138">
        <f>(C129*E129)/D129</f>
        <v>0.96666666666666667</v>
      </c>
    </row>
    <row r="130" spans="2:6" ht="15" x14ac:dyDescent="0.2">
      <c r="B130" s="139"/>
      <c r="C130" s="44"/>
      <c r="D130" s="108"/>
      <c r="E130" s="140" t="s">
        <v>595</v>
      </c>
      <c r="F130" s="141">
        <f>F127+F128+F129</f>
        <v>2.6166666666666667</v>
      </c>
    </row>
    <row r="131" spans="2:6" ht="15.75" thickBot="1" x14ac:dyDescent="0.25">
      <c r="B131" s="142"/>
      <c r="C131" s="44"/>
      <c r="D131" s="108"/>
      <c r="E131" s="143" t="s">
        <v>596</v>
      </c>
      <c r="F131" s="138">
        <f>(F130*21%)+F130</f>
        <v>3.1661666666666668</v>
      </c>
    </row>
    <row r="132" spans="2:6" ht="32.25" customHeight="1" thickBot="1" x14ac:dyDescent="0.25">
      <c r="B132" s="162" t="s">
        <v>597</v>
      </c>
      <c r="C132" s="258" t="s">
        <v>632</v>
      </c>
      <c r="D132" s="259"/>
      <c r="E132" s="259"/>
      <c r="F132" s="260"/>
    </row>
    <row r="133" spans="2:6" ht="15" x14ac:dyDescent="0.2">
      <c r="B133" s="30"/>
      <c r="C133" s="30"/>
      <c r="D133" s="30"/>
      <c r="E133" s="30"/>
      <c r="F133" s="30"/>
    </row>
    <row r="134" spans="2:6" ht="15" x14ac:dyDescent="0.2">
      <c r="B134" s="30"/>
      <c r="C134" s="30"/>
      <c r="D134" s="30"/>
      <c r="E134" s="30"/>
      <c r="F134" s="30"/>
    </row>
    <row r="135" spans="2:6" ht="15" x14ac:dyDescent="0.2">
      <c r="B135" s="239" t="s">
        <v>633</v>
      </c>
      <c r="C135" s="269"/>
      <c r="D135" s="269"/>
      <c r="E135" s="269"/>
      <c r="F135" s="270"/>
    </row>
    <row r="136" spans="2:6" ht="15.75" thickBot="1" x14ac:dyDescent="0.25">
      <c r="B136" s="150"/>
      <c r="C136" s="131" t="s">
        <v>586</v>
      </c>
      <c r="D136" s="131" t="s">
        <v>31</v>
      </c>
      <c r="E136" s="132" t="s">
        <v>2</v>
      </c>
      <c r="F136" s="157" t="s">
        <v>587</v>
      </c>
    </row>
    <row r="137" spans="2:6" ht="30" x14ac:dyDescent="0.2">
      <c r="B137" s="158" t="s">
        <v>634</v>
      </c>
      <c r="C137" s="159">
        <v>500</v>
      </c>
      <c r="D137" s="160">
        <v>1000</v>
      </c>
      <c r="E137" s="161">
        <v>10</v>
      </c>
      <c r="F137" s="138">
        <f>(C137*E137)/D137</f>
        <v>5</v>
      </c>
    </row>
    <row r="138" spans="2:6" ht="15" x14ac:dyDescent="0.2">
      <c r="B138" s="139" t="s">
        <v>124</v>
      </c>
      <c r="C138" s="44">
        <v>5</v>
      </c>
      <c r="D138" s="44">
        <v>50</v>
      </c>
      <c r="E138" s="106">
        <v>3</v>
      </c>
      <c r="F138" s="138">
        <f>(C138*E138)/D138</f>
        <v>0.3</v>
      </c>
    </row>
    <row r="139" spans="2:6" ht="15.75" thickBot="1" x14ac:dyDescent="0.25">
      <c r="B139" s="139" t="s">
        <v>594</v>
      </c>
      <c r="C139" s="44">
        <v>2</v>
      </c>
      <c r="D139" s="44">
        <v>60</v>
      </c>
      <c r="E139" s="106">
        <v>14.5</v>
      </c>
      <c r="F139" s="138">
        <f>(C139*E139)/D139</f>
        <v>0.48333333333333334</v>
      </c>
    </row>
    <row r="140" spans="2:6" ht="15" x14ac:dyDescent="0.2">
      <c r="B140" s="139"/>
      <c r="C140" s="44"/>
      <c r="D140" s="108"/>
      <c r="E140" s="140" t="s">
        <v>595</v>
      </c>
      <c r="F140" s="141">
        <f>F137+F138+F139</f>
        <v>5.7833333333333332</v>
      </c>
    </row>
    <row r="141" spans="2:6" ht="15.75" thickBot="1" x14ac:dyDescent="0.25">
      <c r="B141" s="142"/>
      <c r="C141" s="44"/>
      <c r="D141" s="108"/>
      <c r="E141" s="143" t="s">
        <v>596</v>
      </c>
      <c r="F141" s="138">
        <f>(F140*21%)+F140</f>
        <v>6.9978333333333333</v>
      </c>
    </row>
    <row r="142" spans="2:6" ht="32.25" customHeight="1" thickBot="1" x14ac:dyDescent="0.25">
      <c r="B142" s="162" t="s">
        <v>597</v>
      </c>
      <c r="C142" s="258" t="s">
        <v>635</v>
      </c>
      <c r="D142" s="259"/>
      <c r="E142" s="259"/>
      <c r="F142" s="260"/>
    </row>
    <row r="143" spans="2:6" ht="15" x14ac:dyDescent="0.2">
      <c r="B143" s="30"/>
      <c r="C143" s="30"/>
      <c r="D143" s="30"/>
      <c r="E143" s="30"/>
      <c r="F143" s="30"/>
    </row>
    <row r="144" spans="2:6" ht="15.75" thickBot="1" x14ac:dyDescent="0.25">
      <c r="B144" s="30"/>
      <c r="C144" s="30"/>
      <c r="D144" s="30"/>
      <c r="E144" s="30"/>
      <c r="F144" s="30"/>
    </row>
    <row r="145" spans="2:6" ht="15.75" thickBot="1" x14ac:dyDescent="0.25">
      <c r="B145" s="267" t="s">
        <v>636</v>
      </c>
      <c r="C145" s="268"/>
      <c r="D145" s="268"/>
      <c r="E145" s="268"/>
      <c r="F145" s="266"/>
    </row>
    <row r="146" spans="2:6" ht="15.75" thickBot="1" x14ac:dyDescent="0.25">
      <c r="B146" s="163"/>
      <c r="C146" s="147" t="s">
        <v>586</v>
      </c>
      <c r="D146" s="147" t="s">
        <v>31</v>
      </c>
      <c r="E146" s="148" t="s">
        <v>2</v>
      </c>
      <c r="F146" s="135" t="s">
        <v>587</v>
      </c>
    </row>
    <row r="147" spans="2:6" ht="15" x14ac:dyDescent="0.2">
      <c r="B147" s="158" t="s">
        <v>637</v>
      </c>
      <c r="C147" s="159">
        <v>600</v>
      </c>
      <c r="D147" s="160">
        <v>5000</v>
      </c>
      <c r="E147" s="161">
        <v>3.95</v>
      </c>
      <c r="F147" s="138">
        <f t="shared" ref="F147:F152" si="3">(C147*E147)/D147</f>
        <v>0.47399999999999998</v>
      </c>
    </row>
    <row r="148" spans="2:6" ht="15.75" x14ac:dyDescent="0.2">
      <c r="B148" s="139" t="s">
        <v>631</v>
      </c>
      <c r="C148" s="44">
        <v>300</v>
      </c>
      <c r="D148" s="44">
        <v>1000</v>
      </c>
      <c r="E148" s="106">
        <v>1.1299999999999999</v>
      </c>
      <c r="F148" s="138">
        <f t="shared" si="3"/>
        <v>0.33899999999999997</v>
      </c>
    </row>
    <row r="149" spans="2:6" ht="15.75" x14ac:dyDescent="0.2">
      <c r="B149" s="139" t="s">
        <v>589</v>
      </c>
      <c r="C149" s="44">
        <v>8</v>
      </c>
      <c r="D149" s="44">
        <v>100</v>
      </c>
      <c r="E149" s="106">
        <v>1.82</v>
      </c>
      <c r="F149" s="138">
        <f t="shared" si="3"/>
        <v>0.14560000000000001</v>
      </c>
    </row>
    <row r="150" spans="2:6" ht="15.75" x14ac:dyDescent="0.2">
      <c r="B150" s="139" t="s">
        <v>591</v>
      </c>
      <c r="C150" s="44">
        <v>8</v>
      </c>
      <c r="D150" s="44">
        <v>100</v>
      </c>
      <c r="E150" s="106">
        <v>3.42</v>
      </c>
      <c r="F150" s="138">
        <f t="shared" si="3"/>
        <v>0.27360000000000001</v>
      </c>
    </row>
    <row r="151" spans="2:6" ht="30" x14ac:dyDescent="0.2">
      <c r="B151" s="139" t="s">
        <v>592</v>
      </c>
      <c r="C151" s="44">
        <v>2</v>
      </c>
      <c r="D151" s="44">
        <v>1000</v>
      </c>
      <c r="E151" s="106">
        <v>3.9</v>
      </c>
      <c r="F151" s="138">
        <f t="shared" si="3"/>
        <v>7.7999999999999996E-3</v>
      </c>
    </row>
    <row r="152" spans="2:6" ht="15.75" thickBot="1" x14ac:dyDescent="0.25">
      <c r="B152" s="139" t="s">
        <v>594</v>
      </c>
      <c r="C152" s="44">
        <v>10</v>
      </c>
      <c r="D152" s="44">
        <v>60</v>
      </c>
      <c r="E152" s="106">
        <v>14.5</v>
      </c>
      <c r="F152" s="138">
        <f t="shared" si="3"/>
        <v>2.4166666666666665</v>
      </c>
    </row>
    <row r="153" spans="2:6" ht="15" x14ac:dyDescent="0.2">
      <c r="B153" s="139"/>
      <c r="C153" s="44"/>
      <c r="D153" s="108"/>
      <c r="E153" s="140" t="s">
        <v>595</v>
      </c>
      <c r="F153" s="141">
        <f>F147+F148+F149+F150+F151+F152</f>
        <v>3.6566666666666663</v>
      </c>
    </row>
    <row r="154" spans="2:6" ht="15.75" thickBot="1" x14ac:dyDescent="0.25">
      <c r="B154" s="142"/>
      <c r="C154" s="44"/>
      <c r="D154" s="108"/>
      <c r="E154" s="143" t="s">
        <v>596</v>
      </c>
      <c r="F154" s="138">
        <f>(F153*21%)+F153</f>
        <v>4.4245666666666663</v>
      </c>
    </row>
    <row r="155" spans="2:6" ht="32.25" customHeight="1" thickBot="1" x14ac:dyDescent="0.25">
      <c r="B155" s="144" t="s">
        <v>597</v>
      </c>
      <c r="C155" s="258" t="s">
        <v>638</v>
      </c>
      <c r="D155" s="259"/>
      <c r="E155" s="259"/>
      <c r="F155" s="260"/>
    </row>
    <row r="156" spans="2:6" ht="15" x14ac:dyDescent="0.2">
      <c r="B156" s="30"/>
      <c r="C156" s="30"/>
      <c r="D156" s="30"/>
      <c r="E156" s="30"/>
      <c r="F156" s="30"/>
    </row>
    <row r="157" spans="2:6" ht="15.75" thickBot="1" x14ac:dyDescent="0.25">
      <c r="B157" s="30"/>
      <c r="C157" s="30"/>
      <c r="D157" s="30"/>
      <c r="E157" s="30"/>
      <c r="F157" s="30"/>
    </row>
    <row r="158" spans="2:6" ht="15.75" thickBot="1" x14ac:dyDescent="0.25">
      <c r="B158" s="267" t="s">
        <v>639</v>
      </c>
      <c r="C158" s="268"/>
      <c r="D158" s="268"/>
      <c r="E158" s="268"/>
      <c r="F158" s="266"/>
    </row>
    <row r="159" spans="2:6" ht="15.75" thickBot="1" x14ac:dyDescent="0.25">
      <c r="B159" s="163"/>
      <c r="C159" s="147" t="s">
        <v>586</v>
      </c>
      <c r="D159" s="147" t="s">
        <v>31</v>
      </c>
      <c r="E159" s="148" t="s">
        <v>2</v>
      </c>
      <c r="F159" s="135" t="s">
        <v>587</v>
      </c>
    </row>
    <row r="160" spans="2:6" ht="15" x14ac:dyDescent="0.2">
      <c r="B160" s="158" t="s">
        <v>37</v>
      </c>
      <c r="C160" s="159">
        <v>900</v>
      </c>
      <c r="D160" s="160">
        <v>1000</v>
      </c>
      <c r="E160" s="161">
        <v>1.5</v>
      </c>
      <c r="F160" s="138">
        <f>(C160*E160)/D160</f>
        <v>1.35</v>
      </c>
    </row>
    <row r="161" spans="2:6" ht="15" x14ac:dyDescent="0.2">
      <c r="B161" s="139" t="s">
        <v>640</v>
      </c>
      <c r="C161" s="44">
        <v>90</v>
      </c>
      <c r="D161" s="44">
        <v>1000</v>
      </c>
      <c r="E161" s="106">
        <v>1.76</v>
      </c>
      <c r="F161" s="138">
        <f>(C161*E161)/D161</f>
        <v>0.15840000000000001</v>
      </c>
    </row>
    <row r="162" spans="2:6" ht="15.75" thickBot="1" x14ac:dyDescent="0.25">
      <c r="B162" s="139"/>
      <c r="C162" s="44"/>
      <c r="D162" s="44">
        <v>60</v>
      </c>
      <c r="E162" s="106">
        <v>14.5</v>
      </c>
      <c r="F162" s="138">
        <f>(C162*E162)/D162</f>
        <v>0</v>
      </c>
    </row>
    <row r="163" spans="2:6" ht="15" x14ac:dyDescent="0.2">
      <c r="B163" s="139"/>
      <c r="C163" s="44"/>
      <c r="D163" s="108"/>
      <c r="E163" s="140" t="s">
        <v>595</v>
      </c>
      <c r="F163" s="141">
        <f>F160+F161+F162</f>
        <v>1.5084000000000002</v>
      </c>
    </row>
    <row r="164" spans="2:6" ht="15.75" thickBot="1" x14ac:dyDescent="0.25">
      <c r="B164" s="142"/>
      <c r="C164" s="44"/>
      <c r="D164" s="108"/>
      <c r="E164" s="143" t="s">
        <v>596</v>
      </c>
      <c r="F164" s="138">
        <f>(F163*21%)+F163</f>
        <v>1.8251640000000002</v>
      </c>
    </row>
    <row r="165" spans="2:6" ht="32.25" customHeight="1" thickBot="1" x14ac:dyDescent="0.25">
      <c r="B165" s="144" t="s">
        <v>597</v>
      </c>
      <c r="C165" s="258" t="s">
        <v>641</v>
      </c>
      <c r="D165" s="259"/>
      <c r="E165" s="259"/>
      <c r="F165" s="260"/>
    </row>
    <row r="166" spans="2:6" ht="15" x14ac:dyDescent="0.2">
      <c r="B166" s="30"/>
      <c r="C166" s="30"/>
      <c r="D166" s="30"/>
      <c r="E166" s="30"/>
      <c r="F166" s="30"/>
    </row>
    <row r="167" spans="2:6" ht="15" x14ac:dyDescent="0.2">
      <c r="B167" s="30"/>
      <c r="C167" s="30"/>
      <c r="D167" s="30"/>
      <c r="E167" s="30"/>
      <c r="F167" s="30"/>
    </row>
    <row r="168" spans="2:6" ht="15" x14ac:dyDescent="0.2">
      <c r="B168" s="239" t="s">
        <v>642</v>
      </c>
      <c r="C168" s="269"/>
      <c r="D168" s="269"/>
      <c r="E168" s="269"/>
      <c r="F168" s="270"/>
    </row>
    <row r="169" spans="2:6" ht="15.75" thickBot="1" x14ac:dyDescent="0.25">
      <c r="B169" s="150"/>
      <c r="C169" s="131" t="s">
        <v>586</v>
      </c>
      <c r="D169" s="131" t="s">
        <v>31</v>
      </c>
      <c r="E169" s="132" t="s">
        <v>2</v>
      </c>
      <c r="F169" s="157" t="s">
        <v>587</v>
      </c>
    </row>
    <row r="170" spans="2:6" ht="15" x14ac:dyDescent="0.2">
      <c r="B170" s="158" t="s">
        <v>25</v>
      </c>
      <c r="C170" s="159">
        <v>300</v>
      </c>
      <c r="D170" s="160">
        <v>700</v>
      </c>
      <c r="E170" s="161">
        <v>12</v>
      </c>
      <c r="F170" s="138">
        <f>(C170*E170)/D170</f>
        <v>5.1428571428571432</v>
      </c>
    </row>
    <row r="171" spans="2:6" ht="15" x14ac:dyDescent="0.2">
      <c r="B171" s="139" t="s">
        <v>643</v>
      </c>
      <c r="C171" s="164">
        <v>200</v>
      </c>
      <c r="D171" s="164">
        <v>700</v>
      </c>
      <c r="E171" s="106">
        <v>16</v>
      </c>
      <c r="F171" s="138">
        <f>(C171*E171)/D171</f>
        <v>4.5714285714285712</v>
      </c>
    </row>
    <row r="172" spans="2:6" ht="30" x14ac:dyDescent="0.2">
      <c r="B172" s="139" t="s">
        <v>644</v>
      </c>
      <c r="C172" s="164">
        <v>500</v>
      </c>
      <c r="D172" s="164">
        <v>700</v>
      </c>
      <c r="E172" s="106">
        <v>7</v>
      </c>
      <c r="F172" s="138">
        <f>(C172*E172)/D172</f>
        <v>5</v>
      </c>
    </row>
    <row r="173" spans="2:6" ht="15" x14ac:dyDescent="0.2">
      <c r="B173" s="139" t="s">
        <v>645</v>
      </c>
      <c r="C173" s="164">
        <v>5</v>
      </c>
      <c r="D173" s="164">
        <v>150</v>
      </c>
      <c r="E173" s="106">
        <v>18.25</v>
      </c>
      <c r="F173" s="138">
        <f>(C173*E173)/D173</f>
        <v>0.60833333333333328</v>
      </c>
    </row>
    <row r="174" spans="2:6" ht="15.75" thickBot="1" x14ac:dyDescent="0.25">
      <c r="B174" s="139" t="s">
        <v>594</v>
      </c>
      <c r="C174" s="44">
        <v>1</v>
      </c>
      <c r="D174" s="44">
        <v>60</v>
      </c>
      <c r="E174" s="106">
        <v>14.5</v>
      </c>
      <c r="F174" s="138">
        <f>(C174*E174)/D174</f>
        <v>0.24166666666666667</v>
      </c>
    </row>
    <row r="175" spans="2:6" ht="15" x14ac:dyDescent="0.2">
      <c r="B175" s="139"/>
      <c r="C175" s="44"/>
      <c r="D175" s="108"/>
      <c r="E175" s="140" t="s">
        <v>595</v>
      </c>
      <c r="F175" s="141">
        <f>F170+F171+F174+F173</f>
        <v>10.564285714285715</v>
      </c>
    </row>
    <row r="176" spans="2:6" ht="15.75" thickBot="1" x14ac:dyDescent="0.25">
      <c r="B176" s="142"/>
      <c r="C176" s="44"/>
      <c r="D176" s="108"/>
      <c r="E176" s="143" t="s">
        <v>596</v>
      </c>
      <c r="F176" s="138">
        <f>(F175*21%)+F175</f>
        <v>12.782785714285716</v>
      </c>
    </row>
    <row r="177" spans="2:6" ht="32.25" customHeight="1" thickBot="1" x14ac:dyDescent="0.25">
      <c r="B177" s="144" t="s">
        <v>597</v>
      </c>
      <c r="C177" s="258" t="s">
        <v>646</v>
      </c>
      <c r="D177" s="259"/>
      <c r="E177" s="259"/>
      <c r="F177" s="260"/>
    </row>
    <row r="178" spans="2:6" ht="15" x14ac:dyDescent="0.2">
      <c r="B178" s="30"/>
      <c r="C178" s="30"/>
      <c r="D178" s="30"/>
      <c r="E178" s="30"/>
      <c r="F178" s="30"/>
    </row>
    <row r="179" spans="2:6" ht="15.75" thickBot="1" x14ac:dyDescent="0.25">
      <c r="B179" s="30"/>
      <c r="C179" s="30"/>
      <c r="D179" s="30"/>
      <c r="E179" s="30"/>
      <c r="F179" s="30"/>
    </row>
    <row r="180" spans="2:6" ht="15.75" thickBot="1" x14ac:dyDescent="0.25">
      <c r="B180" s="267" t="s">
        <v>647</v>
      </c>
      <c r="C180" s="268"/>
      <c r="D180" s="268"/>
      <c r="E180" s="268"/>
      <c r="F180" s="266"/>
    </row>
    <row r="181" spans="2:6" ht="15.75" thickBot="1" x14ac:dyDescent="0.25">
      <c r="B181" s="163"/>
      <c r="C181" s="147" t="s">
        <v>586</v>
      </c>
      <c r="D181" s="147" t="s">
        <v>31</v>
      </c>
      <c r="E181" s="148" t="s">
        <v>2</v>
      </c>
      <c r="F181" s="135" t="s">
        <v>587</v>
      </c>
    </row>
    <row r="182" spans="2:6" ht="15.75" x14ac:dyDescent="0.2">
      <c r="B182" s="165" t="s">
        <v>648</v>
      </c>
      <c r="C182" s="159">
        <v>250</v>
      </c>
      <c r="D182" s="159">
        <v>500</v>
      </c>
      <c r="E182" s="161">
        <v>17.940000000000001</v>
      </c>
      <c r="F182" s="138">
        <f>(C182*E182)/D182</f>
        <v>8.9700000000000006</v>
      </c>
    </row>
    <row r="183" spans="2:6" ht="15" x14ac:dyDescent="0.2">
      <c r="B183" s="139" t="s">
        <v>58</v>
      </c>
      <c r="C183" s="44">
        <v>50</v>
      </c>
      <c r="D183" s="44">
        <v>1000</v>
      </c>
      <c r="E183" s="106">
        <v>2.77</v>
      </c>
      <c r="F183" s="138"/>
    </row>
    <row r="184" spans="2:6" ht="15" x14ac:dyDescent="0.2">
      <c r="B184" s="139" t="s">
        <v>649</v>
      </c>
      <c r="C184" s="44">
        <v>3</v>
      </c>
      <c r="D184" s="44"/>
      <c r="E184" s="106"/>
      <c r="F184" s="138"/>
    </row>
    <row r="185" spans="2:6" ht="30" x14ac:dyDescent="0.2">
      <c r="B185" s="139" t="s">
        <v>650</v>
      </c>
      <c r="C185" s="44">
        <v>0.2</v>
      </c>
      <c r="D185" s="44">
        <v>100</v>
      </c>
      <c r="E185" s="106">
        <v>3.7</v>
      </c>
      <c r="F185" s="138">
        <f>(C185*E185)/D185</f>
        <v>7.4000000000000012E-3</v>
      </c>
    </row>
    <row r="186" spans="2:6" ht="15.75" thickBot="1" x14ac:dyDescent="0.25">
      <c r="B186" s="139" t="s">
        <v>594</v>
      </c>
      <c r="C186" s="44">
        <v>2</v>
      </c>
      <c r="D186" s="44">
        <v>60</v>
      </c>
      <c r="E186" s="106">
        <v>14.5</v>
      </c>
      <c r="F186" s="138">
        <f>(C186*E186)/D186</f>
        <v>0.48333333333333334</v>
      </c>
    </row>
    <row r="187" spans="2:6" ht="15" x14ac:dyDescent="0.2">
      <c r="B187" s="139"/>
      <c r="C187" s="44"/>
      <c r="D187" s="108"/>
      <c r="E187" s="140" t="s">
        <v>595</v>
      </c>
      <c r="F187" s="141">
        <f>F182+F185+F186</f>
        <v>9.4607333333333337</v>
      </c>
    </row>
    <row r="188" spans="2:6" ht="15.75" thickBot="1" x14ac:dyDescent="0.25">
      <c r="B188" s="142"/>
      <c r="C188" s="44"/>
      <c r="D188" s="108"/>
      <c r="E188" s="143" t="s">
        <v>596</v>
      </c>
      <c r="F188" s="138">
        <f>(F187*21%)+F187</f>
        <v>11.447487333333333</v>
      </c>
    </row>
    <row r="189" spans="2:6" ht="32.25" customHeight="1" thickBot="1" x14ac:dyDescent="0.25">
      <c r="B189" s="144" t="s">
        <v>597</v>
      </c>
      <c r="C189" s="258" t="s">
        <v>651</v>
      </c>
      <c r="D189" s="259"/>
      <c r="E189" s="259"/>
      <c r="F189" s="260"/>
    </row>
    <row r="190" spans="2:6" ht="15" x14ac:dyDescent="0.2">
      <c r="B190" s="166"/>
      <c r="C190" s="167"/>
      <c r="D190" s="168"/>
      <c r="E190" s="168"/>
      <c r="F190" s="168"/>
    </row>
    <row r="191" spans="2:6" ht="15.75" thickBot="1" x14ac:dyDescent="0.25">
      <c r="B191" s="30"/>
      <c r="C191" s="30"/>
      <c r="D191" s="30"/>
      <c r="E191" s="30"/>
      <c r="F191" s="30"/>
    </row>
    <row r="192" spans="2:6" ht="15.75" thickBot="1" x14ac:dyDescent="0.25">
      <c r="B192" s="267" t="s">
        <v>652</v>
      </c>
      <c r="C192" s="268"/>
      <c r="D192" s="268"/>
      <c r="E192" s="268"/>
      <c r="F192" s="266"/>
    </row>
    <row r="193" spans="2:6" ht="15.75" thickBot="1" x14ac:dyDescent="0.25">
      <c r="B193" s="163"/>
      <c r="C193" s="147" t="s">
        <v>586</v>
      </c>
      <c r="D193" s="147" t="s">
        <v>31</v>
      </c>
      <c r="E193" s="148" t="s">
        <v>2</v>
      </c>
      <c r="F193" s="135" t="s">
        <v>587</v>
      </c>
    </row>
    <row r="194" spans="2:6" ht="15" x14ac:dyDescent="0.2">
      <c r="B194" s="165" t="s">
        <v>588</v>
      </c>
      <c r="C194" s="159">
        <v>350</v>
      </c>
      <c r="D194" s="159">
        <v>1000</v>
      </c>
      <c r="E194" s="161"/>
      <c r="F194" s="138">
        <f t="shared" ref="F194:F199" si="4">(C194*E194)/D194</f>
        <v>0</v>
      </c>
    </row>
    <row r="195" spans="2:6" ht="15" x14ac:dyDescent="0.2">
      <c r="B195" s="139" t="s">
        <v>111</v>
      </c>
      <c r="C195" s="44">
        <v>50</v>
      </c>
      <c r="D195" s="44">
        <v>700</v>
      </c>
      <c r="E195" s="106">
        <v>2.5</v>
      </c>
      <c r="F195" s="138">
        <f t="shared" si="4"/>
        <v>0.17857142857142858</v>
      </c>
    </row>
    <row r="196" spans="2:6" ht="15" x14ac:dyDescent="0.2">
      <c r="B196" s="139" t="s">
        <v>37</v>
      </c>
      <c r="C196" s="44">
        <v>25</v>
      </c>
      <c r="D196" s="44">
        <v>1000</v>
      </c>
      <c r="E196" s="106"/>
      <c r="F196" s="138">
        <f t="shared" si="4"/>
        <v>0</v>
      </c>
    </row>
    <row r="197" spans="2:6" ht="15" x14ac:dyDescent="0.2">
      <c r="B197" s="139" t="s">
        <v>232</v>
      </c>
      <c r="C197" s="44">
        <v>20</v>
      </c>
      <c r="D197" s="44">
        <v>100</v>
      </c>
      <c r="E197" s="106"/>
      <c r="F197" s="138">
        <f t="shared" si="4"/>
        <v>0</v>
      </c>
    </row>
    <row r="198" spans="2:6" ht="15" x14ac:dyDescent="0.2">
      <c r="B198" s="139" t="s">
        <v>653</v>
      </c>
      <c r="C198" s="44">
        <v>12</v>
      </c>
      <c r="D198" s="44">
        <v>1000</v>
      </c>
      <c r="E198" s="106"/>
      <c r="F198" s="138">
        <f t="shared" si="4"/>
        <v>0</v>
      </c>
    </row>
    <row r="199" spans="2:6" ht="15.75" thickBot="1" x14ac:dyDescent="0.25">
      <c r="B199" s="139" t="s">
        <v>594</v>
      </c>
      <c r="C199" s="44">
        <v>5</v>
      </c>
      <c r="D199" s="108">
        <v>14.5</v>
      </c>
      <c r="E199" s="44">
        <v>5</v>
      </c>
      <c r="F199" s="138">
        <f t="shared" si="4"/>
        <v>1.7241379310344827</v>
      </c>
    </row>
    <row r="200" spans="2:6" ht="15" x14ac:dyDescent="0.2">
      <c r="B200" s="139"/>
      <c r="C200" s="44"/>
      <c r="D200" s="108"/>
      <c r="E200" s="140" t="s">
        <v>595</v>
      </c>
      <c r="F200" s="141">
        <f>F194+F197+F198+F199</f>
        <v>1.7241379310344827</v>
      </c>
    </row>
    <row r="201" spans="2:6" ht="15.75" thickBot="1" x14ac:dyDescent="0.25">
      <c r="B201" s="142"/>
      <c r="C201" s="44"/>
      <c r="D201" s="108"/>
      <c r="E201" s="143" t="s">
        <v>596</v>
      </c>
      <c r="F201" s="138">
        <f>(F200*21%)+F200</f>
        <v>2.0862068965517242</v>
      </c>
    </row>
    <row r="202" spans="2:6" ht="32.25" customHeight="1" thickBot="1" x14ac:dyDescent="0.25">
      <c r="B202" s="144" t="s">
        <v>597</v>
      </c>
      <c r="C202" s="258" t="s">
        <v>654</v>
      </c>
      <c r="D202" s="259"/>
      <c r="E202" s="259"/>
      <c r="F202" s="260"/>
    </row>
    <row r="203" spans="2:6" ht="15" x14ac:dyDescent="0.2">
      <c r="B203" s="30"/>
      <c r="C203" s="30"/>
      <c r="D203" s="30"/>
      <c r="E203" s="30"/>
      <c r="F203" s="30"/>
    </row>
    <row r="204" spans="2:6" ht="15.75" thickBot="1" x14ac:dyDescent="0.25">
      <c r="B204" s="30"/>
      <c r="C204" s="30"/>
      <c r="D204" s="30"/>
      <c r="E204" s="30"/>
      <c r="F204" s="30"/>
    </row>
    <row r="205" spans="2:6" ht="15.75" thickBot="1" x14ac:dyDescent="0.25">
      <c r="B205" s="267" t="s">
        <v>655</v>
      </c>
      <c r="C205" s="268"/>
      <c r="D205" s="268"/>
      <c r="E205" s="268"/>
      <c r="F205" s="266"/>
    </row>
    <row r="206" spans="2:6" ht="15.75" thickBot="1" x14ac:dyDescent="0.25">
      <c r="B206" s="163" t="s">
        <v>208</v>
      </c>
      <c r="C206" s="147" t="s">
        <v>586</v>
      </c>
      <c r="D206" s="147" t="s">
        <v>31</v>
      </c>
      <c r="E206" s="148" t="s">
        <v>2</v>
      </c>
      <c r="F206" s="135" t="s">
        <v>587</v>
      </c>
    </row>
    <row r="207" spans="2:6" ht="15" x14ac:dyDescent="0.2">
      <c r="B207" s="165" t="s">
        <v>58</v>
      </c>
      <c r="C207" s="159">
        <v>600</v>
      </c>
      <c r="D207" s="159">
        <v>1000</v>
      </c>
      <c r="E207" s="161">
        <v>2.77</v>
      </c>
      <c r="F207" s="138">
        <f>(C207*E207)/D207</f>
        <v>1.6619999999999999</v>
      </c>
    </row>
    <row r="208" spans="2:6" ht="30" x14ac:dyDescent="0.2">
      <c r="B208" s="139" t="s">
        <v>656</v>
      </c>
      <c r="C208" s="44">
        <v>100</v>
      </c>
      <c r="D208" s="44">
        <v>1000</v>
      </c>
      <c r="E208" s="106">
        <v>4</v>
      </c>
      <c r="F208" s="138">
        <f>(C208*E208)/D208</f>
        <v>0.4</v>
      </c>
    </row>
    <row r="209" spans="2:6" ht="15.75" thickBot="1" x14ac:dyDescent="0.25">
      <c r="B209" s="139" t="s">
        <v>594</v>
      </c>
      <c r="C209" s="44">
        <v>5</v>
      </c>
      <c r="D209" s="108">
        <v>60</v>
      </c>
      <c r="E209" s="44">
        <v>14.5</v>
      </c>
      <c r="F209" s="138">
        <f>(C209*E209)/D209</f>
        <v>1.2083333333333333</v>
      </c>
    </row>
    <row r="210" spans="2:6" ht="15" x14ac:dyDescent="0.2">
      <c r="B210" s="139"/>
      <c r="C210" s="44"/>
      <c r="D210" s="108"/>
      <c r="E210" s="140" t="s">
        <v>595</v>
      </c>
      <c r="F210" s="141">
        <f>F207+F208+F209</f>
        <v>3.2703333333333333</v>
      </c>
    </row>
    <row r="211" spans="2:6" ht="15.75" thickBot="1" x14ac:dyDescent="0.25">
      <c r="B211" s="142"/>
      <c r="C211" s="44"/>
      <c r="D211" s="108"/>
      <c r="E211" s="143" t="s">
        <v>596</v>
      </c>
      <c r="F211" s="138">
        <f>(F210*21%)+F210</f>
        <v>3.9571033333333334</v>
      </c>
    </row>
    <row r="212" spans="2:6" ht="32.25" customHeight="1" thickBot="1" x14ac:dyDescent="0.25">
      <c r="B212" s="144" t="s">
        <v>597</v>
      </c>
      <c r="C212" s="258" t="s">
        <v>608</v>
      </c>
      <c r="D212" s="259"/>
      <c r="E212" s="259"/>
      <c r="F212" s="260"/>
    </row>
    <row r="214" spans="2:6" ht="14.25" thickBot="1" x14ac:dyDescent="0.2"/>
    <row r="215" spans="2:6" ht="15.75" thickBot="1" x14ac:dyDescent="0.25">
      <c r="B215" s="264" t="s">
        <v>657</v>
      </c>
      <c r="C215" s="265"/>
      <c r="D215" s="265"/>
      <c r="E215" s="265"/>
      <c r="F215" s="266"/>
    </row>
    <row r="216" spans="2:6" ht="15.75" thickBot="1" x14ac:dyDescent="0.25">
      <c r="B216" s="134"/>
      <c r="C216" s="135" t="s">
        <v>586</v>
      </c>
      <c r="D216" s="135" t="s">
        <v>31</v>
      </c>
      <c r="E216" s="135" t="s">
        <v>2</v>
      </c>
      <c r="F216" s="135" t="s">
        <v>587</v>
      </c>
    </row>
    <row r="217" spans="2:6" ht="15" x14ac:dyDescent="0.2">
      <c r="B217" s="139" t="s">
        <v>658</v>
      </c>
      <c r="C217" s="44">
        <v>1000</v>
      </c>
      <c r="D217" s="44">
        <v>700</v>
      </c>
      <c r="E217" s="106">
        <v>12</v>
      </c>
      <c r="F217" s="138">
        <f>(C217*E217)/D217</f>
        <v>17.142857142857142</v>
      </c>
    </row>
    <row r="218" spans="2:6" ht="15" x14ac:dyDescent="0.2">
      <c r="B218" s="139" t="s">
        <v>37</v>
      </c>
      <c r="C218" s="44">
        <v>450</v>
      </c>
      <c r="D218" s="44">
        <v>1000</v>
      </c>
      <c r="E218" s="106">
        <v>1.76</v>
      </c>
      <c r="F218" s="138">
        <f>(C218*E218)/D218</f>
        <v>0.79200000000000004</v>
      </c>
    </row>
    <row r="219" spans="2:6" ht="15" x14ac:dyDescent="0.2">
      <c r="B219" s="139" t="s">
        <v>659</v>
      </c>
      <c r="C219" s="44">
        <v>15</v>
      </c>
      <c r="D219" s="44">
        <v>250</v>
      </c>
      <c r="E219" s="169">
        <v>1.55</v>
      </c>
      <c r="F219" s="138">
        <f>(C219*E219)/D219</f>
        <v>9.2999999999999999E-2</v>
      </c>
    </row>
    <row r="220" spans="2:6" ht="15.75" thickBot="1" x14ac:dyDescent="0.25">
      <c r="B220" s="139" t="s">
        <v>594</v>
      </c>
      <c r="C220" s="44">
        <v>4</v>
      </c>
      <c r="D220" s="44">
        <v>60</v>
      </c>
      <c r="E220" s="106">
        <v>14.5</v>
      </c>
      <c r="F220" s="138">
        <f>(C220*E220)/D220</f>
        <v>0.96666666666666667</v>
      </c>
    </row>
    <row r="221" spans="2:6" ht="15" x14ac:dyDescent="0.2">
      <c r="B221" s="139"/>
      <c r="C221" s="44"/>
      <c r="D221" s="108"/>
      <c r="E221" s="140" t="s">
        <v>595</v>
      </c>
      <c r="F221" s="141">
        <f>F217+F218+F219+F220</f>
        <v>18.994523809523809</v>
      </c>
    </row>
    <row r="222" spans="2:6" ht="15.75" thickBot="1" x14ac:dyDescent="0.25">
      <c r="B222" s="142"/>
      <c r="C222" s="120"/>
      <c r="D222" s="121"/>
      <c r="E222" s="154" t="s">
        <v>596</v>
      </c>
      <c r="F222" s="170">
        <f>(F221*21%)+F221</f>
        <v>22.983373809523808</v>
      </c>
    </row>
    <row r="224" spans="2:6" ht="14.25" thickBot="1" x14ac:dyDescent="0.2"/>
    <row r="225" spans="2:6" ht="15.75" thickBot="1" x14ac:dyDescent="0.25">
      <c r="B225" s="264" t="s">
        <v>660</v>
      </c>
      <c r="C225" s="265"/>
      <c r="D225" s="265"/>
      <c r="E225" s="265"/>
      <c r="F225" s="266"/>
    </row>
    <row r="226" spans="2:6" ht="15.75" thickBot="1" x14ac:dyDescent="0.25">
      <c r="B226" s="134"/>
      <c r="C226" s="135" t="s">
        <v>586</v>
      </c>
      <c r="D226" s="135" t="s">
        <v>31</v>
      </c>
      <c r="E226" s="135" t="s">
        <v>2</v>
      </c>
      <c r="F226" s="135" t="s">
        <v>587</v>
      </c>
    </row>
    <row r="227" spans="2:6" ht="15" x14ac:dyDescent="0.2">
      <c r="B227" s="139" t="s">
        <v>247</v>
      </c>
      <c r="C227" s="44">
        <v>1000</v>
      </c>
      <c r="D227" s="44">
        <v>500</v>
      </c>
      <c r="E227" s="106">
        <v>1.85</v>
      </c>
      <c r="F227" s="138">
        <f>(C227*E227)/D227</f>
        <v>3.7</v>
      </c>
    </row>
    <row r="228" spans="2:6" ht="15" x14ac:dyDescent="0.2">
      <c r="B228" s="139" t="s">
        <v>588</v>
      </c>
      <c r="C228" s="44">
        <v>600</v>
      </c>
      <c r="D228" s="44">
        <v>1000</v>
      </c>
      <c r="E228" s="106">
        <v>0</v>
      </c>
      <c r="F228" s="138">
        <v>0</v>
      </c>
    </row>
    <row r="229" spans="2:6" ht="15" x14ac:dyDescent="0.2">
      <c r="B229" s="139" t="s">
        <v>268</v>
      </c>
      <c r="C229" s="44">
        <v>15</v>
      </c>
      <c r="D229" s="44">
        <v>50</v>
      </c>
      <c r="E229" s="106">
        <v>3</v>
      </c>
      <c r="F229" s="138">
        <f>(C229*E229)/D229</f>
        <v>0.9</v>
      </c>
    </row>
    <row r="230" spans="2:6" ht="15.75" thickBot="1" x14ac:dyDescent="0.25">
      <c r="B230" s="139" t="s">
        <v>594</v>
      </c>
      <c r="C230" s="44">
        <v>1</v>
      </c>
      <c r="D230" s="44">
        <v>60</v>
      </c>
      <c r="E230" s="106">
        <v>14.5</v>
      </c>
      <c r="F230" s="138">
        <f>(C230*E230)/D230</f>
        <v>0.24166666666666667</v>
      </c>
    </row>
    <row r="231" spans="2:6" ht="15" x14ac:dyDescent="0.2">
      <c r="B231" s="139"/>
      <c r="C231" s="44"/>
      <c r="D231" s="108"/>
      <c r="E231" s="140" t="s">
        <v>595</v>
      </c>
      <c r="F231" s="141">
        <f>F227+F229+F230</f>
        <v>4.8416666666666668</v>
      </c>
    </row>
    <row r="232" spans="2:6" ht="15.75" thickBot="1" x14ac:dyDescent="0.25">
      <c r="B232" s="142"/>
      <c r="C232" s="120"/>
      <c r="D232" s="121"/>
      <c r="E232" s="154" t="s">
        <v>596</v>
      </c>
      <c r="F232" s="170">
        <f>(F231*21%)+F231</f>
        <v>5.8584166666666668</v>
      </c>
    </row>
    <row r="235" spans="2:6" ht="15" x14ac:dyDescent="0.2">
      <c r="B235" s="256" t="s">
        <v>661</v>
      </c>
      <c r="C235" s="257"/>
      <c r="D235" s="257"/>
      <c r="E235" s="257"/>
      <c r="F235" s="257"/>
    </row>
    <row r="236" spans="2:6" ht="15.75" thickBot="1" x14ac:dyDescent="0.25">
      <c r="B236" s="171"/>
      <c r="C236" s="157" t="s">
        <v>586</v>
      </c>
      <c r="D236" s="157" t="s">
        <v>31</v>
      </c>
      <c r="E236" s="157" t="s">
        <v>2</v>
      </c>
      <c r="F236" s="157" t="s">
        <v>587</v>
      </c>
    </row>
    <row r="237" spans="2:6" ht="30" x14ac:dyDescent="0.2">
      <c r="B237" s="139" t="s">
        <v>662</v>
      </c>
      <c r="C237" s="172">
        <v>1000</v>
      </c>
      <c r="D237" s="172">
        <v>1000</v>
      </c>
      <c r="E237" s="173">
        <v>2.5</v>
      </c>
      <c r="F237" s="174">
        <f>(C237*E237)/D237</f>
        <v>2.5</v>
      </c>
    </row>
    <row r="238" spans="2:6" ht="30" x14ac:dyDescent="0.2">
      <c r="B238" s="139" t="s">
        <v>615</v>
      </c>
      <c r="C238" s="44">
        <v>10</v>
      </c>
      <c r="D238" s="44">
        <v>1000</v>
      </c>
      <c r="E238" s="106">
        <v>12</v>
      </c>
      <c r="F238" s="138">
        <f>(C238*E238)/D238</f>
        <v>0.12</v>
      </c>
    </row>
    <row r="239" spans="2:6" ht="30" x14ac:dyDescent="0.2">
      <c r="B239" s="139" t="s">
        <v>613</v>
      </c>
      <c r="C239" s="44">
        <v>5</v>
      </c>
      <c r="D239" s="44">
        <v>1000</v>
      </c>
      <c r="E239" s="106">
        <v>10</v>
      </c>
      <c r="F239" s="138">
        <f>(C239*E239)/D239</f>
        <v>0.05</v>
      </c>
    </row>
    <row r="240" spans="2:6" ht="15.75" thickBot="1" x14ac:dyDescent="0.25">
      <c r="B240" s="139" t="s">
        <v>594</v>
      </c>
      <c r="C240" s="44">
        <v>1</v>
      </c>
      <c r="D240" s="44">
        <v>60</v>
      </c>
      <c r="E240" s="106">
        <v>14.5</v>
      </c>
      <c r="F240" s="138">
        <f>(C240*E240)/D240</f>
        <v>0.24166666666666667</v>
      </c>
    </row>
    <row r="241" spans="2:6" ht="15" x14ac:dyDescent="0.2">
      <c r="B241" s="139"/>
      <c r="C241" s="44"/>
      <c r="D241" s="108"/>
      <c r="E241" s="140" t="s">
        <v>595</v>
      </c>
      <c r="F241" s="141">
        <f>SUM(F237:F240)</f>
        <v>2.9116666666666666</v>
      </c>
    </row>
    <row r="242" spans="2:6" ht="15.75" thickBot="1" x14ac:dyDescent="0.25">
      <c r="B242" s="142"/>
      <c r="C242" s="120"/>
      <c r="D242" s="121"/>
      <c r="E242" s="154" t="s">
        <v>596</v>
      </c>
      <c r="F242" s="170">
        <f>(F241*21%)+F241</f>
        <v>3.5231166666666667</v>
      </c>
    </row>
    <row r="243" spans="2:6" ht="30.75" thickBot="1" x14ac:dyDescent="0.25">
      <c r="B243" s="144" t="s">
        <v>597</v>
      </c>
      <c r="C243" s="258" t="s">
        <v>663</v>
      </c>
      <c r="D243" s="259"/>
      <c r="E243" s="259"/>
      <c r="F243" s="260"/>
    </row>
    <row r="246" spans="2:6" ht="15" x14ac:dyDescent="0.2">
      <c r="B246" s="256" t="s">
        <v>664</v>
      </c>
      <c r="C246" s="257"/>
      <c r="D246" s="257"/>
      <c r="E246" s="257"/>
      <c r="F246" s="257"/>
    </row>
    <row r="247" spans="2:6" ht="15" x14ac:dyDescent="0.2">
      <c r="B247" s="175"/>
      <c r="C247" s="176" t="s">
        <v>586</v>
      </c>
      <c r="D247" s="176" t="s">
        <v>31</v>
      </c>
      <c r="E247" s="176" t="s">
        <v>2</v>
      </c>
      <c r="F247" s="177" t="s">
        <v>587</v>
      </c>
    </row>
    <row r="248" spans="2:6" ht="15" x14ac:dyDescent="0.2">
      <c r="B248" s="139" t="s">
        <v>588</v>
      </c>
      <c r="C248" s="44">
        <v>1000</v>
      </c>
      <c r="D248" s="44">
        <v>1000</v>
      </c>
      <c r="E248" s="106">
        <v>0</v>
      </c>
      <c r="F248" s="138">
        <f>(C248*E248)/D248</f>
        <v>0</v>
      </c>
    </row>
    <row r="249" spans="2:6" ht="30" x14ac:dyDescent="0.2">
      <c r="B249" s="139" t="s">
        <v>665</v>
      </c>
      <c r="C249" s="44">
        <v>25</v>
      </c>
      <c r="D249" s="44">
        <v>50</v>
      </c>
      <c r="E249" s="106">
        <v>3.75</v>
      </c>
      <c r="F249" s="138">
        <f>(C249*E249)/D249</f>
        <v>1.875</v>
      </c>
    </row>
    <row r="250" spans="2:6" ht="15" x14ac:dyDescent="0.2">
      <c r="B250" s="139" t="s">
        <v>666</v>
      </c>
      <c r="C250" s="44">
        <v>200</v>
      </c>
      <c r="D250" s="44">
        <v>1000</v>
      </c>
      <c r="E250" s="106">
        <v>2</v>
      </c>
      <c r="F250" s="138">
        <f>(C250*E250)/D250</f>
        <v>0.4</v>
      </c>
    </row>
    <row r="251" spans="2:6" ht="15.75" thickBot="1" x14ac:dyDescent="0.25">
      <c r="B251" s="139" t="s">
        <v>594</v>
      </c>
      <c r="C251" s="44">
        <v>2</v>
      </c>
      <c r="D251" s="44">
        <v>60</v>
      </c>
      <c r="E251" s="106">
        <v>14.5</v>
      </c>
      <c r="F251" s="138">
        <f>(C251*E251)/D251</f>
        <v>0.48333333333333334</v>
      </c>
    </row>
    <row r="252" spans="2:6" ht="15" x14ac:dyDescent="0.2">
      <c r="B252" s="139"/>
      <c r="C252" s="44"/>
      <c r="D252" s="108"/>
      <c r="E252" s="140" t="s">
        <v>595</v>
      </c>
      <c r="F252" s="141">
        <f>SUM(F248:F251)</f>
        <v>2.7583333333333333</v>
      </c>
    </row>
    <row r="253" spans="2:6" ht="15.75" thickBot="1" x14ac:dyDescent="0.25">
      <c r="B253" s="142"/>
      <c r="C253" s="120"/>
      <c r="D253" s="121"/>
      <c r="E253" s="154" t="s">
        <v>596</v>
      </c>
      <c r="F253" s="170">
        <f>(F252*21%)+F252</f>
        <v>3.3375833333333333</v>
      </c>
    </row>
    <row r="254" spans="2:6" ht="32.25" customHeight="1" thickBot="1" x14ac:dyDescent="0.25">
      <c r="B254" s="144" t="s">
        <v>597</v>
      </c>
      <c r="C254" s="261" t="s">
        <v>667</v>
      </c>
      <c r="D254" s="262"/>
      <c r="E254" s="262"/>
      <c r="F254" s="263"/>
    </row>
    <row r="256" spans="2:6" ht="14.25" thickBot="1" x14ac:dyDescent="0.2"/>
    <row r="257" spans="2:6" ht="15" x14ac:dyDescent="0.2">
      <c r="B257" s="264" t="s">
        <v>668</v>
      </c>
      <c r="C257" s="265"/>
      <c r="D257" s="265"/>
      <c r="E257" s="265"/>
      <c r="F257" s="266"/>
    </row>
    <row r="258" spans="2:6" ht="15" x14ac:dyDescent="0.2">
      <c r="B258" s="178"/>
      <c r="C258" s="124" t="s">
        <v>586</v>
      </c>
      <c r="D258" s="124" t="s">
        <v>31</v>
      </c>
      <c r="E258" s="124" t="s">
        <v>2</v>
      </c>
      <c r="F258" s="179" t="s">
        <v>587</v>
      </c>
    </row>
    <row r="259" spans="2:6" ht="30" x14ac:dyDescent="0.2">
      <c r="B259" s="139" t="s">
        <v>669</v>
      </c>
      <c r="C259" s="44">
        <v>1000</v>
      </c>
      <c r="D259" s="44">
        <v>1000</v>
      </c>
      <c r="E259" s="106">
        <v>7</v>
      </c>
      <c r="F259" s="138">
        <f>(C259*E259)/D259</f>
        <v>7</v>
      </c>
    </row>
    <row r="260" spans="2:6" ht="30" x14ac:dyDescent="0.2">
      <c r="B260" s="139" t="s">
        <v>670</v>
      </c>
      <c r="C260" s="44">
        <v>30</v>
      </c>
      <c r="D260" s="44">
        <v>1000</v>
      </c>
      <c r="E260" s="106">
        <v>7.5</v>
      </c>
      <c r="F260" s="138">
        <f>(C260*E260)/D260</f>
        <v>0.22500000000000001</v>
      </c>
    </row>
    <row r="261" spans="2:6" ht="15" x14ac:dyDescent="0.2">
      <c r="B261" s="139"/>
      <c r="C261" s="44"/>
      <c r="D261" s="44"/>
      <c r="E261" s="106"/>
      <c r="F261" s="138"/>
    </row>
    <row r="262" spans="2:6" ht="15.75" thickBot="1" x14ac:dyDescent="0.25">
      <c r="B262" s="139" t="s">
        <v>594</v>
      </c>
      <c r="C262" s="44">
        <v>2</v>
      </c>
      <c r="D262" s="44">
        <v>60</v>
      </c>
      <c r="E262" s="106">
        <v>14.5</v>
      </c>
      <c r="F262" s="138">
        <f>(C262*E262)/D262</f>
        <v>0.48333333333333334</v>
      </c>
    </row>
    <row r="263" spans="2:6" ht="15" x14ac:dyDescent="0.2">
      <c r="B263" s="139"/>
      <c r="C263" s="44"/>
      <c r="D263" s="108"/>
      <c r="E263" s="140" t="s">
        <v>595</v>
      </c>
      <c r="F263" s="141">
        <f>SUM(F259:F262)</f>
        <v>7.708333333333333</v>
      </c>
    </row>
    <row r="264" spans="2:6" ht="15.75" thickBot="1" x14ac:dyDescent="0.25">
      <c r="B264" s="142"/>
      <c r="C264" s="120"/>
      <c r="D264" s="121"/>
      <c r="E264" s="154" t="s">
        <v>596</v>
      </c>
      <c r="F264" s="170">
        <f>(F263*21%)+F263</f>
        <v>9.3270833333333325</v>
      </c>
    </row>
    <row r="265" spans="2:6" ht="32.25" customHeight="1" thickBot="1" x14ac:dyDescent="0.25">
      <c r="B265" s="144" t="s">
        <v>597</v>
      </c>
      <c r="C265" s="261" t="s">
        <v>608</v>
      </c>
      <c r="D265" s="262"/>
      <c r="E265" s="262"/>
      <c r="F265" s="263"/>
    </row>
    <row r="267" spans="2:6" ht="14.25" thickBot="1" x14ac:dyDescent="0.2"/>
    <row r="268" spans="2:6" ht="15" x14ac:dyDescent="0.2">
      <c r="B268" s="264" t="s">
        <v>671</v>
      </c>
      <c r="C268" s="265"/>
      <c r="D268" s="265"/>
      <c r="E268" s="265"/>
      <c r="F268" s="266"/>
    </row>
    <row r="269" spans="2:6" ht="15" x14ac:dyDescent="0.2">
      <c r="B269" s="178"/>
      <c r="C269" s="124" t="s">
        <v>586</v>
      </c>
      <c r="D269" s="124" t="s">
        <v>31</v>
      </c>
      <c r="E269" s="124" t="s">
        <v>2</v>
      </c>
      <c r="F269" s="179" t="s">
        <v>587</v>
      </c>
    </row>
    <row r="270" spans="2:6" ht="15" x14ac:dyDescent="0.2">
      <c r="B270" s="139" t="s">
        <v>672</v>
      </c>
      <c r="C270" s="44">
        <v>600</v>
      </c>
      <c r="D270" s="44">
        <v>1000</v>
      </c>
      <c r="E270" s="106">
        <v>0</v>
      </c>
      <c r="F270" s="138">
        <f>(C270*E270)/D270</f>
        <v>0</v>
      </c>
    </row>
    <row r="271" spans="2:6" ht="30" x14ac:dyDescent="0.2">
      <c r="B271" s="139" t="s">
        <v>673</v>
      </c>
      <c r="C271" s="44">
        <v>450</v>
      </c>
      <c r="D271" s="44">
        <v>500</v>
      </c>
      <c r="E271" s="106"/>
      <c r="F271" s="138"/>
    </row>
    <row r="272" spans="2:6" ht="15" x14ac:dyDescent="0.2">
      <c r="B272" s="139" t="s">
        <v>266</v>
      </c>
      <c r="C272" s="44">
        <v>6</v>
      </c>
      <c r="D272" s="44">
        <v>50</v>
      </c>
      <c r="E272" s="106"/>
      <c r="F272" s="138"/>
    </row>
    <row r="273" spans="2:6" ht="15" x14ac:dyDescent="0.2">
      <c r="B273" s="139"/>
      <c r="C273" s="44"/>
      <c r="D273" s="44">
        <v>1000</v>
      </c>
      <c r="E273" s="106">
        <v>7.5</v>
      </c>
      <c r="F273" s="138">
        <f>(C273*E273)/D273</f>
        <v>0</v>
      </c>
    </row>
    <row r="274" spans="2:6" ht="15" x14ac:dyDescent="0.2">
      <c r="B274" s="139"/>
      <c r="C274" s="44"/>
      <c r="D274" s="44"/>
      <c r="E274" s="106"/>
      <c r="F274" s="138"/>
    </row>
    <row r="275" spans="2:6" ht="15.75" thickBot="1" x14ac:dyDescent="0.25">
      <c r="B275" s="139" t="s">
        <v>594</v>
      </c>
      <c r="C275" s="44">
        <v>2</v>
      </c>
      <c r="D275" s="44">
        <v>60</v>
      </c>
      <c r="E275" s="106">
        <v>14.5</v>
      </c>
      <c r="F275" s="138">
        <f>(C275*E275)/D275</f>
        <v>0.48333333333333334</v>
      </c>
    </row>
    <row r="276" spans="2:6" ht="15" x14ac:dyDescent="0.2">
      <c r="B276" s="139"/>
      <c r="C276" s="44"/>
      <c r="D276" s="108"/>
      <c r="E276" s="140" t="s">
        <v>595</v>
      </c>
      <c r="F276" s="141">
        <f>SUM(F270:F275)</f>
        <v>0.48333333333333334</v>
      </c>
    </row>
    <row r="277" spans="2:6" ht="15.75" thickBot="1" x14ac:dyDescent="0.25">
      <c r="B277" s="142"/>
      <c r="C277" s="120"/>
      <c r="D277" s="121"/>
      <c r="E277" s="154" t="s">
        <v>596</v>
      </c>
      <c r="F277" s="170">
        <f>(F276*21%)+F276</f>
        <v>0.58483333333333332</v>
      </c>
    </row>
    <row r="278" spans="2:6" ht="32.25" customHeight="1" thickBot="1" x14ac:dyDescent="0.25">
      <c r="B278" s="144" t="s">
        <v>597</v>
      </c>
      <c r="C278" s="261" t="s">
        <v>674</v>
      </c>
      <c r="D278" s="262"/>
      <c r="E278" s="262"/>
      <c r="F278" s="263"/>
    </row>
    <row r="280" spans="2:6" ht="14.25" thickBot="1" x14ac:dyDescent="0.2"/>
    <row r="281" spans="2:6" ht="15" x14ac:dyDescent="0.2">
      <c r="B281" s="242" t="s">
        <v>675</v>
      </c>
      <c r="C281" s="243"/>
      <c r="D281" s="243"/>
      <c r="E281" s="243"/>
      <c r="F281" s="244"/>
    </row>
    <row r="282" spans="2:6" ht="15" x14ac:dyDescent="0.2">
      <c r="B282" s="178"/>
      <c r="C282" s="124" t="s">
        <v>586</v>
      </c>
      <c r="D282" s="124" t="s">
        <v>31</v>
      </c>
      <c r="E282" s="124" t="s">
        <v>2</v>
      </c>
      <c r="F282" s="179" t="s">
        <v>587</v>
      </c>
    </row>
    <row r="283" spans="2:6" ht="30" x14ac:dyDescent="0.2">
      <c r="B283" s="180" t="s">
        <v>676</v>
      </c>
      <c r="C283" s="172">
        <v>500</v>
      </c>
      <c r="D283" s="172">
        <v>1000</v>
      </c>
      <c r="E283" s="173">
        <v>0.2</v>
      </c>
      <c r="F283" s="174">
        <f>(C283*E283)/D283</f>
        <v>0.1</v>
      </c>
    </row>
    <row r="284" spans="2:6" ht="15" x14ac:dyDescent="0.2">
      <c r="B284" s="139" t="s">
        <v>677</v>
      </c>
      <c r="C284" s="44">
        <v>5</v>
      </c>
      <c r="D284" s="44">
        <v>1000</v>
      </c>
      <c r="E284" s="106">
        <v>4</v>
      </c>
      <c r="F284" s="174">
        <f t="shared" ref="F284:F286" si="5">(C284*E284)/D284</f>
        <v>0.02</v>
      </c>
    </row>
    <row r="285" spans="2:6" ht="15" x14ac:dyDescent="0.2">
      <c r="B285" s="139" t="s">
        <v>37</v>
      </c>
      <c r="C285" s="44">
        <v>400</v>
      </c>
      <c r="D285" s="44">
        <v>1000</v>
      </c>
      <c r="E285" s="106">
        <v>1.5</v>
      </c>
      <c r="F285" s="174">
        <f t="shared" si="5"/>
        <v>0.6</v>
      </c>
    </row>
    <row r="286" spans="2:6" ht="30" x14ac:dyDescent="0.2">
      <c r="B286" s="139" t="s">
        <v>678</v>
      </c>
      <c r="C286" s="44">
        <v>0.05</v>
      </c>
      <c r="D286" s="44">
        <v>1000</v>
      </c>
      <c r="E286" s="106">
        <v>7.5</v>
      </c>
      <c r="F286" s="174">
        <f t="shared" si="5"/>
        <v>3.7500000000000001E-4</v>
      </c>
    </row>
    <row r="287" spans="2:6" ht="15" x14ac:dyDescent="0.2">
      <c r="B287" s="139"/>
      <c r="C287" s="44"/>
      <c r="D287" s="44"/>
      <c r="E287" s="106"/>
      <c r="F287" s="138"/>
    </row>
    <row r="288" spans="2:6" ht="15.75" thickBot="1" x14ac:dyDescent="0.25">
      <c r="B288" s="139" t="s">
        <v>594</v>
      </c>
      <c r="C288" s="44">
        <v>2</v>
      </c>
      <c r="D288" s="44">
        <v>60</v>
      </c>
      <c r="E288" s="106">
        <v>14.5</v>
      </c>
      <c r="F288" s="138">
        <f>(C288*E288)/D288</f>
        <v>0.48333333333333334</v>
      </c>
    </row>
    <row r="289" spans="2:6" ht="15" x14ac:dyDescent="0.2">
      <c r="B289" s="139"/>
      <c r="C289" s="44"/>
      <c r="D289" s="108"/>
      <c r="E289" s="140" t="s">
        <v>595</v>
      </c>
      <c r="F289" s="141">
        <f>SUM(F283:F288)</f>
        <v>1.2037083333333334</v>
      </c>
    </row>
    <row r="290" spans="2:6" ht="15.75" thickBot="1" x14ac:dyDescent="0.25">
      <c r="B290" s="142"/>
      <c r="C290" s="120"/>
      <c r="D290" s="121"/>
      <c r="E290" s="154" t="s">
        <v>596</v>
      </c>
      <c r="F290" s="170">
        <f>(F289*21%)+F289</f>
        <v>1.4564870833333334</v>
      </c>
    </row>
    <row r="291" spans="2:6" ht="32.25" customHeight="1" thickBot="1" x14ac:dyDescent="0.25">
      <c r="B291" s="144" t="s">
        <v>597</v>
      </c>
      <c r="C291" s="245" t="s">
        <v>679</v>
      </c>
      <c r="D291" s="246"/>
      <c r="E291" s="246"/>
      <c r="F291" s="247"/>
    </row>
    <row r="293" spans="2:6" ht="14.25" thickBot="1" x14ac:dyDescent="0.2"/>
    <row r="294" spans="2:6" ht="15" x14ac:dyDescent="0.2">
      <c r="B294" s="242" t="s">
        <v>680</v>
      </c>
      <c r="C294" s="243"/>
      <c r="D294" s="243"/>
      <c r="E294" s="243"/>
      <c r="F294" s="244"/>
    </row>
    <row r="295" spans="2:6" ht="15" x14ac:dyDescent="0.2">
      <c r="B295" s="178"/>
      <c r="C295" s="124" t="s">
        <v>586</v>
      </c>
      <c r="D295" s="124" t="s">
        <v>31</v>
      </c>
      <c r="E295" s="124" t="s">
        <v>2</v>
      </c>
      <c r="F295" s="179" t="s">
        <v>587</v>
      </c>
    </row>
    <row r="296" spans="2:6" ht="15" x14ac:dyDescent="0.15">
      <c r="B296" s="180" t="s">
        <v>681</v>
      </c>
      <c r="C296" s="172">
        <v>30</v>
      </c>
      <c r="D296" s="172">
        <v>700</v>
      </c>
      <c r="E296" s="173">
        <v>0</v>
      </c>
      <c r="F296" s="174">
        <f t="shared" ref="F296:F301" si="6">(C296*E296)/D296</f>
        <v>0</v>
      </c>
    </row>
    <row r="297" spans="2:6" ht="15" x14ac:dyDescent="0.2">
      <c r="B297" s="180" t="s">
        <v>645</v>
      </c>
      <c r="C297" s="172">
        <v>30</v>
      </c>
      <c r="D297" s="44">
        <v>200</v>
      </c>
      <c r="E297" s="106"/>
      <c r="F297" s="174">
        <f t="shared" si="6"/>
        <v>0</v>
      </c>
    </row>
    <row r="298" spans="2:6" ht="45" x14ac:dyDescent="0.2">
      <c r="B298" s="180" t="s">
        <v>682</v>
      </c>
      <c r="C298" s="172">
        <v>10</v>
      </c>
      <c r="D298" s="44"/>
      <c r="E298" s="106"/>
      <c r="F298" s="174" t="e">
        <f t="shared" si="6"/>
        <v>#DIV/0!</v>
      </c>
    </row>
    <row r="299" spans="2:6" ht="15" x14ac:dyDescent="0.2">
      <c r="B299" s="180" t="s">
        <v>683</v>
      </c>
      <c r="C299" s="172">
        <v>2</v>
      </c>
      <c r="D299" s="44"/>
      <c r="E299" s="106"/>
      <c r="F299" s="174" t="e">
        <f t="shared" si="6"/>
        <v>#DIV/0!</v>
      </c>
    </row>
    <row r="300" spans="2:6" ht="15" x14ac:dyDescent="0.2">
      <c r="B300" s="180" t="s">
        <v>684</v>
      </c>
      <c r="C300" s="172">
        <v>5</v>
      </c>
      <c r="D300" s="44"/>
      <c r="E300" s="106"/>
      <c r="F300" s="174" t="e">
        <f t="shared" si="6"/>
        <v>#DIV/0!</v>
      </c>
    </row>
    <row r="301" spans="2:6" ht="30" x14ac:dyDescent="0.2">
      <c r="B301" s="180" t="s">
        <v>685</v>
      </c>
      <c r="C301" s="172">
        <v>2.5</v>
      </c>
      <c r="D301" s="44">
        <v>550</v>
      </c>
      <c r="E301" s="106"/>
      <c r="F301" s="174">
        <f t="shared" si="6"/>
        <v>0</v>
      </c>
    </row>
    <row r="302" spans="2:6" ht="15" x14ac:dyDescent="0.2">
      <c r="B302" s="180"/>
      <c r="C302" s="172"/>
      <c r="D302" s="44"/>
      <c r="E302" s="106"/>
      <c r="F302" s="174"/>
    </row>
    <row r="303" spans="2:6" ht="15" x14ac:dyDescent="0.2">
      <c r="B303" s="139"/>
      <c r="C303" s="44"/>
      <c r="D303" s="44"/>
      <c r="E303" s="106"/>
      <c r="F303" s="138"/>
    </row>
    <row r="304" spans="2:6" ht="15.75" thickBot="1" x14ac:dyDescent="0.25">
      <c r="B304" s="139" t="s">
        <v>594</v>
      </c>
      <c r="C304" s="44">
        <v>2</v>
      </c>
      <c r="D304" s="44">
        <v>60</v>
      </c>
      <c r="E304" s="106">
        <v>14.5</v>
      </c>
      <c r="F304" s="138">
        <f>(C304*E304)/D304</f>
        <v>0.48333333333333334</v>
      </c>
    </row>
    <row r="305" spans="2:6" ht="15" x14ac:dyDescent="0.2">
      <c r="B305" s="139"/>
      <c r="C305" s="44"/>
      <c r="D305" s="108"/>
      <c r="E305" s="140" t="s">
        <v>595</v>
      </c>
      <c r="F305" s="141" t="e">
        <f>SUM(F296:F304)</f>
        <v>#DIV/0!</v>
      </c>
    </row>
    <row r="306" spans="2:6" ht="15.75" thickBot="1" x14ac:dyDescent="0.25">
      <c r="B306" s="142"/>
      <c r="C306" s="120"/>
      <c r="D306" s="121"/>
      <c r="E306" s="154" t="s">
        <v>596</v>
      </c>
      <c r="F306" s="170" t="e">
        <f>(F305*21%)+F305</f>
        <v>#DIV/0!</v>
      </c>
    </row>
    <row r="307" spans="2:6" ht="32.25" customHeight="1" thickBot="1" x14ac:dyDescent="0.25">
      <c r="B307" s="144" t="s">
        <v>597</v>
      </c>
      <c r="C307" s="245" t="s">
        <v>679</v>
      </c>
      <c r="D307" s="246"/>
      <c r="E307" s="246"/>
      <c r="F307" s="247"/>
    </row>
    <row r="309" spans="2:6" ht="14.25" thickBot="1" x14ac:dyDescent="0.2"/>
    <row r="310" spans="2:6" ht="15" x14ac:dyDescent="0.2">
      <c r="B310" s="242" t="s">
        <v>686</v>
      </c>
      <c r="C310" s="243"/>
      <c r="D310" s="243"/>
      <c r="E310" s="243"/>
      <c r="F310" s="244"/>
    </row>
    <row r="311" spans="2:6" ht="15" x14ac:dyDescent="0.2">
      <c r="B311" s="178"/>
      <c r="C311" s="124" t="s">
        <v>586</v>
      </c>
      <c r="D311" s="124" t="s">
        <v>31</v>
      </c>
      <c r="E311" s="124" t="s">
        <v>2</v>
      </c>
      <c r="F311" s="179" t="s">
        <v>587</v>
      </c>
    </row>
    <row r="312" spans="2:6" ht="30" x14ac:dyDescent="0.2">
      <c r="B312" s="180" t="s">
        <v>687</v>
      </c>
      <c r="C312" s="172">
        <v>90</v>
      </c>
      <c r="D312" s="172">
        <v>160</v>
      </c>
      <c r="E312" s="173">
        <v>0</v>
      </c>
      <c r="F312" s="174">
        <f t="shared" ref="F312:F317" si="7">(C312*E312)/D312</f>
        <v>0</v>
      </c>
    </row>
    <row r="313" spans="2:6" ht="30" x14ac:dyDescent="0.2">
      <c r="B313" s="180" t="s">
        <v>688</v>
      </c>
      <c r="C313" s="172">
        <v>40</v>
      </c>
      <c r="D313" s="44">
        <v>1000</v>
      </c>
      <c r="E313" s="106">
        <v>2</v>
      </c>
      <c r="F313" s="174">
        <f t="shared" si="7"/>
        <v>0.08</v>
      </c>
    </row>
    <row r="314" spans="2:6" ht="15" x14ac:dyDescent="0.2">
      <c r="B314" s="180" t="s">
        <v>588</v>
      </c>
      <c r="C314" s="172">
        <v>100</v>
      </c>
      <c r="D314" s="44">
        <v>1000</v>
      </c>
      <c r="E314" s="106">
        <v>0</v>
      </c>
      <c r="F314" s="174">
        <f t="shared" si="7"/>
        <v>0</v>
      </c>
    </row>
    <row r="315" spans="2:6" ht="30" x14ac:dyDescent="0.2">
      <c r="B315" s="180" t="s">
        <v>689</v>
      </c>
      <c r="C315" s="172">
        <v>20</v>
      </c>
      <c r="D315" s="44">
        <v>1000</v>
      </c>
      <c r="E315" s="106">
        <v>6</v>
      </c>
      <c r="F315" s="174">
        <f t="shared" si="7"/>
        <v>0.12</v>
      </c>
    </row>
    <row r="316" spans="2:6" ht="15" x14ac:dyDescent="0.2">
      <c r="B316" s="180" t="s">
        <v>252</v>
      </c>
      <c r="C316" s="172">
        <v>2</v>
      </c>
      <c r="D316" s="44">
        <v>1000</v>
      </c>
      <c r="E316" s="106">
        <v>2</v>
      </c>
      <c r="F316" s="174">
        <f t="shared" si="7"/>
        <v>4.0000000000000001E-3</v>
      </c>
    </row>
    <row r="317" spans="2:6" ht="15.75" thickBot="1" x14ac:dyDescent="0.25">
      <c r="B317" s="139" t="s">
        <v>594</v>
      </c>
      <c r="C317" s="44">
        <v>2</v>
      </c>
      <c r="D317" s="44">
        <v>60</v>
      </c>
      <c r="E317" s="106">
        <v>14.5</v>
      </c>
      <c r="F317" s="138">
        <f t="shared" si="7"/>
        <v>0.48333333333333334</v>
      </c>
    </row>
    <row r="318" spans="2:6" ht="15" x14ac:dyDescent="0.2">
      <c r="B318" s="139"/>
      <c r="C318" s="44"/>
      <c r="D318" s="108"/>
      <c r="E318" s="140" t="s">
        <v>595</v>
      </c>
      <c r="F318" s="141">
        <f>SUM(F312:F317)</f>
        <v>0.68733333333333335</v>
      </c>
    </row>
    <row r="319" spans="2:6" ht="15.75" thickBot="1" x14ac:dyDescent="0.25">
      <c r="B319" s="142"/>
      <c r="C319" s="120"/>
      <c r="D319" s="121"/>
      <c r="E319" s="154" t="s">
        <v>596</v>
      </c>
      <c r="F319" s="170">
        <f>(F318*21%)+F318</f>
        <v>0.83167333333333338</v>
      </c>
    </row>
    <row r="320" spans="2:6" ht="32.25" customHeight="1" thickBot="1" x14ac:dyDescent="0.25">
      <c r="B320" s="144" t="s">
        <v>597</v>
      </c>
      <c r="C320" s="245" t="s">
        <v>679</v>
      </c>
      <c r="D320" s="246"/>
      <c r="E320" s="246"/>
      <c r="F320" s="247"/>
    </row>
    <row r="323" spans="2:6" ht="15" x14ac:dyDescent="0.2">
      <c r="B323" s="239" t="s">
        <v>690</v>
      </c>
      <c r="C323" s="240"/>
      <c r="D323" s="240"/>
      <c r="E323" s="240"/>
      <c r="F323" s="241"/>
    </row>
    <row r="324" spans="2:6" ht="15" x14ac:dyDescent="0.2">
      <c r="B324" s="97"/>
      <c r="C324" s="123" t="s">
        <v>586</v>
      </c>
      <c r="D324" s="124" t="s">
        <v>31</v>
      </c>
      <c r="E324" s="125" t="s">
        <v>2</v>
      </c>
      <c r="F324" s="99" t="s">
        <v>587</v>
      </c>
    </row>
    <row r="325" spans="2:6" ht="15" x14ac:dyDescent="0.2">
      <c r="B325" s="126" t="s">
        <v>588</v>
      </c>
      <c r="C325" s="44">
        <v>1000</v>
      </c>
      <c r="D325" s="44">
        <v>1000</v>
      </c>
      <c r="E325" s="106">
        <v>0</v>
      </c>
      <c r="F325" s="107">
        <f>(C325*E325)/D325</f>
        <v>0</v>
      </c>
    </row>
    <row r="326" spans="2:6" ht="15" x14ac:dyDescent="0.2">
      <c r="B326" s="126" t="s">
        <v>691</v>
      </c>
      <c r="C326" s="44">
        <v>10</v>
      </c>
      <c r="D326" s="44">
        <v>50</v>
      </c>
      <c r="E326" s="106">
        <v>3.5</v>
      </c>
      <c r="F326" s="107">
        <f>(C326*E326)/D326</f>
        <v>0.7</v>
      </c>
    </row>
    <row r="327" spans="2:6" ht="30" x14ac:dyDescent="0.2">
      <c r="B327" s="105" t="s">
        <v>692</v>
      </c>
      <c r="C327" s="44">
        <v>0.06</v>
      </c>
      <c r="D327" s="44">
        <v>1000</v>
      </c>
      <c r="E327" s="106">
        <v>4</v>
      </c>
      <c r="F327" s="107">
        <f>(C327*E327)/D327</f>
        <v>2.3999999999999998E-4</v>
      </c>
    </row>
    <row r="328" spans="2:6" ht="15" x14ac:dyDescent="0.2">
      <c r="B328" s="126"/>
      <c r="C328" s="44"/>
      <c r="D328" s="44"/>
      <c r="E328" s="109" t="s">
        <v>595</v>
      </c>
      <c r="F328" s="104">
        <f>SUM(F325:F327)</f>
        <v>0.70023999999999997</v>
      </c>
    </row>
    <row r="329" spans="2:6" ht="15" x14ac:dyDescent="0.2">
      <c r="B329" s="126"/>
      <c r="C329" s="44"/>
      <c r="D329" s="44"/>
      <c r="E329" s="113" t="s">
        <v>596</v>
      </c>
      <c r="F329" s="114">
        <f>(F328*21%)+F328</f>
        <v>0.8472904</v>
      </c>
    </row>
    <row r="330" spans="2:6" ht="14.25" customHeight="1" x14ac:dyDescent="0.15">
      <c r="B330" s="248" t="s">
        <v>597</v>
      </c>
      <c r="C330" s="250" t="s">
        <v>693</v>
      </c>
      <c r="D330" s="251"/>
      <c r="E330" s="251"/>
      <c r="F330" s="252"/>
    </row>
    <row r="331" spans="2:6" ht="14.25" customHeight="1" x14ac:dyDescent="0.15">
      <c r="B331" s="249"/>
      <c r="C331" s="253"/>
      <c r="D331" s="254"/>
      <c r="E331" s="254"/>
      <c r="F331" s="255"/>
    </row>
    <row r="334" spans="2:6" ht="15" x14ac:dyDescent="0.2">
      <c r="B334" s="239" t="s">
        <v>694</v>
      </c>
      <c r="C334" s="240"/>
      <c r="D334" s="240"/>
      <c r="E334" s="240"/>
      <c r="F334" s="241"/>
    </row>
    <row r="335" spans="2:6" ht="15" x14ac:dyDescent="0.2">
      <c r="B335" s="97"/>
      <c r="C335" s="123" t="s">
        <v>586</v>
      </c>
      <c r="D335" s="124" t="s">
        <v>31</v>
      </c>
      <c r="E335" s="125" t="s">
        <v>2</v>
      </c>
      <c r="F335" s="99" t="s">
        <v>587</v>
      </c>
    </row>
    <row r="336" spans="2:6" ht="15" x14ac:dyDescent="0.2">
      <c r="B336" s="126" t="s">
        <v>695</v>
      </c>
      <c r="C336" s="44">
        <v>750</v>
      </c>
      <c r="D336" s="44">
        <v>1000</v>
      </c>
      <c r="E336" s="106">
        <v>5</v>
      </c>
      <c r="F336" s="107">
        <f>(C336*E336)/D336</f>
        <v>3.75</v>
      </c>
    </row>
    <row r="337" spans="2:6" ht="15" x14ac:dyDescent="0.2">
      <c r="B337" s="126" t="s">
        <v>672</v>
      </c>
      <c r="C337" s="44">
        <v>1000</v>
      </c>
      <c r="D337" s="44">
        <v>1000</v>
      </c>
      <c r="E337" s="106">
        <v>4</v>
      </c>
      <c r="F337" s="107">
        <f>(C337*E337)/D337</f>
        <v>4</v>
      </c>
    </row>
    <row r="338" spans="2:6" ht="15" x14ac:dyDescent="0.2">
      <c r="B338" s="126" t="s">
        <v>266</v>
      </c>
      <c r="C338" s="44">
        <v>2</v>
      </c>
      <c r="D338" s="44">
        <v>50</v>
      </c>
      <c r="E338" s="106">
        <v>3</v>
      </c>
      <c r="F338" s="107">
        <f>(C338*E338)/D338</f>
        <v>0.12</v>
      </c>
    </row>
    <row r="339" spans="2:6" ht="15" x14ac:dyDescent="0.2">
      <c r="B339" s="105" t="s">
        <v>594</v>
      </c>
      <c r="C339" s="44">
        <v>4</v>
      </c>
      <c r="D339" s="44">
        <v>60</v>
      </c>
      <c r="E339" s="106">
        <v>14</v>
      </c>
      <c r="F339" s="107">
        <f>(C339*E339)/D339</f>
        <v>0.93333333333333335</v>
      </c>
    </row>
    <row r="340" spans="2:6" ht="15" x14ac:dyDescent="0.2">
      <c r="B340" s="126"/>
      <c r="C340" s="44"/>
      <c r="D340" s="44"/>
      <c r="E340" s="109" t="s">
        <v>595</v>
      </c>
      <c r="F340" s="104">
        <f>SUM(F336:F339)</f>
        <v>8.8033333333333328</v>
      </c>
    </row>
    <row r="341" spans="2:6" ht="15" x14ac:dyDescent="0.2">
      <c r="B341" s="126"/>
      <c r="C341" s="44"/>
      <c r="D341" s="44"/>
      <c r="E341" s="113" t="s">
        <v>596</v>
      </c>
      <c r="F341" s="114">
        <f>(F340*21%)+F340</f>
        <v>10.652033333333332</v>
      </c>
    </row>
    <row r="344" spans="2:6" ht="15" x14ac:dyDescent="0.2">
      <c r="B344" s="239" t="s">
        <v>696</v>
      </c>
      <c r="C344" s="240"/>
      <c r="D344" s="240"/>
      <c r="E344" s="240"/>
      <c r="F344" s="241"/>
    </row>
    <row r="345" spans="2:6" ht="15" x14ac:dyDescent="0.2">
      <c r="B345" s="97"/>
      <c r="C345" s="123" t="s">
        <v>586</v>
      </c>
      <c r="D345" s="124" t="s">
        <v>31</v>
      </c>
      <c r="E345" s="125" t="s">
        <v>2</v>
      </c>
      <c r="F345" s="99" t="s">
        <v>587</v>
      </c>
    </row>
    <row r="346" spans="2:6" ht="45" x14ac:dyDescent="0.2">
      <c r="B346" s="181" t="s">
        <v>697</v>
      </c>
      <c r="C346" s="44">
        <v>750</v>
      </c>
      <c r="D346" s="44">
        <v>1000</v>
      </c>
      <c r="E346" s="106">
        <v>8.8000000000000007</v>
      </c>
      <c r="F346" s="107">
        <f t="shared" ref="F346:F351" si="8">(C346*E346)/D346</f>
        <v>6.6000000000000005</v>
      </c>
    </row>
    <row r="347" spans="2:6" ht="15" x14ac:dyDescent="0.2">
      <c r="B347" s="126" t="s">
        <v>698</v>
      </c>
      <c r="C347" s="44">
        <v>1000</v>
      </c>
      <c r="D347" s="44">
        <v>1000</v>
      </c>
      <c r="E347" s="106">
        <v>4</v>
      </c>
      <c r="F347" s="107">
        <f t="shared" si="8"/>
        <v>4</v>
      </c>
    </row>
    <row r="348" spans="2:6" ht="15" x14ac:dyDescent="0.2">
      <c r="B348" s="126" t="s">
        <v>699</v>
      </c>
      <c r="C348" s="44">
        <v>15</v>
      </c>
      <c r="D348" s="44">
        <v>700</v>
      </c>
      <c r="E348" s="106">
        <v>10</v>
      </c>
      <c r="F348" s="107">
        <f t="shared" si="8"/>
        <v>0.21428571428571427</v>
      </c>
    </row>
    <row r="349" spans="2:6" ht="15" x14ac:dyDescent="0.2">
      <c r="B349" s="126" t="s">
        <v>700</v>
      </c>
      <c r="C349" s="44">
        <v>20</v>
      </c>
      <c r="D349" s="44">
        <v>700</v>
      </c>
      <c r="E349" s="106">
        <v>16</v>
      </c>
      <c r="F349" s="107">
        <f t="shared" si="8"/>
        <v>0.45714285714285713</v>
      </c>
    </row>
    <row r="350" spans="2:6" ht="15" x14ac:dyDescent="0.2">
      <c r="B350" s="126" t="s">
        <v>701</v>
      </c>
      <c r="C350" s="44">
        <v>20</v>
      </c>
      <c r="D350" s="44">
        <v>1000</v>
      </c>
      <c r="E350" s="106">
        <v>2.5</v>
      </c>
      <c r="F350" s="107">
        <f t="shared" si="8"/>
        <v>0.05</v>
      </c>
    </row>
    <row r="351" spans="2:6" ht="15" x14ac:dyDescent="0.2">
      <c r="B351" s="105" t="s">
        <v>594</v>
      </c>
      <c r="C351" s="44">
        <v>4</v>
      </c>
      <c r="D351" s="44">
        <v>60</v>
      </c>
      <c r="E351" s="106">
        <v>14</v>
      </c>
      <c r="F351" s="107">
        <f t="shared" si="8"/>
        <v>0.93333333333333335</v>
      </c>
    </row>
    <row r="352" spans="2:6" ht="15" x14ac:dyDescent="0.2">
      <c r="B352" s="126"/>
      <c r="C352" s="44"/>
      <c r="D352" s="44"/>
      <c r="E352" s="109" t="s">
        <v>595</v>
      </c>
      <c r="F352" s="104">
        <f>SUM(F346:F351)</f>
        <v>12.254761904761907</v>
      </c>
    </row>
    <row r="353" spans="2:6" ht="15" x14ac:dyDescent="0.2">
      <c r="B353" s="126"/>
      <c r="C353" s="44"/>
      <c r="D353" s="44"/>
      <c r="E353" s="113" t="s">
        <v>596</v>
      </c>
      <c r="F353" s="114">
        <f>(F352*21%)+F352</f>
        <v>14.828261904761906</v>
      </c>
    </row>
    <row r="356" spans="2:6" ht="15" x14ac:dyDescent="0.2">
      <c r="B356" s="239" t="s">
        <v>702</v>
      </c>
      <c r="C356" s="240"/>
      <c r="D356" s="240"/>
      <c r="E356" s="240"/>
      <c r="F356" s="241"/>
    </row>
    <row r="357" spans="2:6" ht="15" x14ac:dyDescent="0.2">
      <c r="B357" s="97"/>
      <c r="C357" s="123" t="s">
        <v>586</v>
      </c>
      <c r="D357" s="124" t="s">
        <v>31</v>
      </c>
      <c r="E357" s="125" t="s">
        <v>2</v>
      </c>
      <c r="F357" s="99" t="s">
        <v>587</v>
      </c>
    </row>
    <row r="358" spans="2:6" ht="15" x14ac:dyDescent="0.2">
      <c r="B358" s="126" t="s">
        <v>703</v>
      </c>
      <c r="C358" s="44">
        <v>400</v>
      </c>
      <c r="D358" s="44">
        <v>1000</v>
      </c>
      <c r="E358" s="106">
        <v>1</v>
      </c>
      <c r="F358" s="107">
        <f>(C358*E358)/D358</f>
        <v>0.4</v>
      </c>
    </row>
    <row r="359" spans="2:6" ht="15" x14ac:dyDescent="0.2">
      <c r="B359" s="126" t="s">
        <v>704</v>
      </c>
      <c r="C359" s="44">
        <v>3</v>
      </c>
      <c r="D359" s="44">
        <v>50</v>
      </c>
      <c r="E359" s="106">
        <v>4</v>
      </c>
      <c r="F359" s="107">
        <f>(C359*E359)/D359</f>
        <v>0.24</v>
      </c>
    </row>
    <row r="360" spans="2:6" ht="15" x14ac:dyDescent="0.2">
      <c r="B360" s="126" t="s">
        <v>705</v>
      </c>
      <c r="C360" s="44">
        <v>4</v>
      </c>
      <c r="D360" s="44">
        <v>50</v>
      </c>
      <c r="E360" s="106">
        <v>4</v>
      </c>
      <c r="F360" s="107">
        <f>(C360*E360)/D360</f>
        <v>0.32</v>
      </c>
    </row>
    <row r="361" spans="2:6" ht="15" x14ac:dyDescent="0.2">
      <c r="B361" s="126" t="s">
        <v>706</v>
      </c>
      <c r="C361" s="44">
        <v>2</v>
      </c>
      <c r="D361" s="44">
        <v>50</v>
      </c>
      <c r="E361" s="106">
        <v>4</v>
      </c>
      <c r="F361" s="107">
        <f>(C361*E361)/D361</f>
        <v>0.16</v>
      </c>
    </row>
    <row r="362" spans="2:6" ht="15" x14ac:dyDescent="0.2">
      <c r="B362" s="105" t="s">
        <v>594</v>
      </c>
      <c r="C362" s="44">
        <v>4</v>
      </c>
      <c r="D362" s="44">
        <v>50</v>
      </c>
      <c r="E362" s="106">
        <v>14</v>
      </c>
      <c r="F362" s="107">
        <f>(C362*E362)/D362</f>
        <v>1.1200000000000001</v>
      </c>
    </row>
    <row r="363" spans="2:6" ht="15" x14ac:dyDescent="0.2">
      <c r="B363" s="126"/>
      <c r="C363" s="44"/>
      <c r="D363" s="44"/>
      <c r="E363" s="109" t="s">
        <v>595</v>
      </c>
      <c r="F363" s="104">
        <f>SUM(F358:F362)</f>
        <v>2.2400000000000002</v>
      </c>
    </row>
    <row r="364" spans="2:6" ht="15" x14ac:dyDescent="0.2">
      <c r="B364" s="126"/>
      <c r="C364" s="44"/>
      <c r="D364" s="44"/>
      <c r="E364" s="113" t="s">
        <v>596</v>
      </c>
      <c r="F364" s="114">
        <f>(F363*21%)+F363</f>
        <v>2.7104000000000004</v>
      </c>
    </row>
    <row r="367" spans="2:6" ht="15" x14ac:dyDescent="0.2">
      <c r="B367" s="239" t="s">
        <v>707</v>
      </c>
      <c r="C367" s="240"/>
      <c r="D367" s="240"/>
      <c r="E367" s="240"/>
      <c r="F367" s="241"/>
    </row>
    <row r="368" spans="2:6" ht="15" x14ac:dyDescent="0.2">
      <c r="B368" s="97"/>
      <c r="C368" s="123" t="s">
        <v>586</v>
      </c>
      <c r="D368" s="124" t="s">
        <v>31</v>
      </c>
      <c r="E368" s="125" t="s">
        <v>2</v>
      </c>
      <c r="F368" s="99" t="s">
        <v>587</v>
      </c>
    </row>
    <row r="369" spans="2:6" ht="15" x14ac:dyDescent="0.2">
      <c r="B369" s="126" t="s">
        <v>607</v>
      </c>
      <c r="C369" s="44">
        <v>1000</v>
      </c>
      <c r="D369" s="44">
        <v>700</v>
      </c>
      <c r="E369" s="106">
        <v>15</v>
      </c>
      <c r="F369" s="107">
        <f>(C369*E369)/D369</f>
        <v>21.428571428571427</v>
      </c>
    </row>
    <row r="370" spans="2:6" ht="15" x14ac:dyDescent="0.2">
      <c r="B370" s="126" t="s">
        <v>708</v>
      </c>
      <c r="C370" s="44">
        <v>10</v>
      </c>
      <c r="D370" s="44">
        <v>50</v>
      </c>
      <c r="E370" s="106">
        <v>4</v>
      </c>
      <c r="F370" s="107">
        <f>(C370*E370)/D370</f>
        <v>0.8</v>
      </c>
    </row>
    <row r="371" spans="2:6" ht="15" x14ac:dyDescent="0.2">
      <c r="B371" s="126"/>
      <c r="C371" s="44"/>
      <c r="D371" s="44">
        <v>50</v>
      </c>
      <c r="E371" s="106">
        <v>4</v>
      </c>
      <c r="F371" s="107">
        <f>(C371*E371)/D371</f>
        <v>0</v>
      </c>
    </row>
    <row r="372" spans="2:6" ht="15" x14ac:dyDescent="0.2">
      <c r="B372" s="126"/>
      <c r="C372" s="44"/>
      <c r="D372" s="44">
        <v>50</v>
      </c>
      <c r="E372" s="106">
        <v>4</v>
      </c>
      <c r="F372" s="107">
        <f>(C372*E372)/D372</f>
        <v>0</v>
      </c>
    </row>
    <row r="373" spans="2:6" ht="15" x14ac:dyDescent="0.2">
      <c r="B373" s="105" t="s">
        <v>594</v>
      </c>
      <c r="C373" s="44">
        <v>4</v>
      </c>
      <c r="D373" s="44">
        <v>50</v>
      </c>
      <c r="E373" s="106">
        <v>14</v>
      </c>
      <c r="F373" s="107">
        <f>(C373*E373)/D373</f>
        <v>1.1200000000000001</v>
      </c>
    </row>
    <row r="374" spans="2:6" ht="15" x14ac:dyDescent="0.2">
      <c r="B374" s="126"/>
      <c r="C374" s="44"/>
      <c r="D374" s="44"/>
      <c r="E374" s="109" t="s">
        <v>595</v>
      </c>
      <c r="F374" s="104">
        <f>SUM(F369:F373)</f>
        <v>23.348571428571429</v>
      </c>
    </row>
    <row r="375" spans="2:6" ht="15" x14ac:dyDescent="0.2">
      <c r="B375" s="126"/>
      <c r="C375" s="44"/>
      <c r="D375" s="44"/>
      <c r="E375" s="113" t="s">
        <v>596</v>
      </c>
      <c r="F375" s="114">
        <f>(F374*21%)+F374</f>
        <v>28.251771428571431</v>
      </c>
    </row>
    <row r="378" spans="2:6" ht="15" x14ac:dyDescent="0.2">
      <c r="B378" s="239" t="s">
        <v>709</v>
      </c>
      <c r="C378" s="240"/>
      <c r="D378" s="240"/>
      <c r="E378" s="240"/>
      <c r="F378" s="241"/>
    </row>
    <row r="379" spans="2:6" ht="15" x14ac:dyDescent="0.2">
      <c r="B379" s="97"/>
      <c r="C379" s="123" t="s">
        <v>586</v>
      </c>
      <c r="D379" s="124" t="s">
        <v>31</v>
      </c>
      <c r="E379" s="125" t="s">
        <v>2</v>
      </c>
      <c r="F379" s="99" t="s">
        <v>587</v>
      </c>
    </row>
    <row r="380" spans="2:6" ht="15" x14ac:dyDescent="0.2">
      <c r="B380" s="126" t="s">
        <v>588</v>
      </c>
      <c r="C380" s="44">
        <v>1000</v>
      </c>
      <c r="D380" s="44">
        <v>1000</v>
      </c>
      <c r="E380" s="106">
        <v>0</v>
      </c>
      <c r="F380" s="107">
        <f>(C380*E380)/D380</f>
        <v>0</v>
      </c>
    </row>
    <row r="381" spans="2:6" ht="15" x14ac:dyDescent="0.2">
      <c r="B381" s="126" t="s">
        <v>252</v>
      </c>
      <c r="C381" s="44">
        <v>101</v>
      </c>
      <c r="D381" s="44">
        <v>1000</v>
      </c>
      <c r="E381" s="106">
        <v>1</v>
      </c>
      <c r="F381" s="107">
        <f>(C381*E381)/D381</f>
        <v>0.10100000000000001</v>
      </c>
    </row>
    <row r="382" spans="2:6" ht="15" x14ac:dyDescent="0.2">
      <c r="B382" s="105" t="s">
        <v>594</v>
      </c>
      <c r="C382" s="44">
        <v>4</v>
      </c>
      <c r="D382" s="44">
        <v>50</v>
      </c>
      <c r="E382" s="106">
        <v>14</v>
      </c>
      <c r="F382" s="107">
        <f>(C382*E382)/D382</f>
        <v>1.1200000000000001</v>
      </c>
    </row>
    <row r="383" spans="2:6" ht="15" x14ac:dyDescent="0.2">
      <c r="B383" s="105"/>
      <c r="C383" s="44"/>
      <c r="D383" s="44"/>
      <c r="E383" s="106"/>
      <c r="F383" s="107"/>
    </row>
    <row r="384" spans="2:6" ht="15" x14ac:dyDescent="0.2">
      <c r="B384" s="126"/>
      <c r="C384" s="44"/>
      <c r="D384" s="44"/>
      <c r="E384" s="109" t="s">
        <v>595</v>
      </c>
      <c r="F384" s="104">
        <f>SUM(F380:F382)</f>
        <v>1.2210000000000001</v>
      </c>
    </row>
    <row r="385" spans="2:6" ht="15" x14ac:dyDescent="0.2">
      <c r="B385" s="126"/>
      <c r="C385" s="44"/>
      <c r="D385" s="44"/>
      <c r="E385" s="113" t="s">
        <v>596</v>
      </c>
      <c r="F385" s="114">
        <f>(F384*21%)+F384</f>
        <v>1.4774100000000001</v>
      </c>
    </row>
  </sheetData>
  <mergeCells count="64">
    <mergeCell ref="B20:F20"/>
    <mergeCell ref="B1:F1"/>
    <mergeCell ref="B4:F4"/>
    <mergeCell ref="B16:B17"/>
    <mergeCell ref="C16:F16"/>
    <mergeCell ref="C17:F17"/>
    <mergeCell ref="C86:F86"/>
    <mergeCell ref="C28:F28"/>
    <mergeCell ref="B31:F31"/>
    <mergeCell ref="B38:B39"/>
    <mergeCell ref="C38:F39"/>
    <mergeCell ref="B42:F42"/>
    <mergeCell ref="C50:F50"/>
    <mergeCell ref="B53:F53"/>
    <mergeCell ref="C66:F66"/>
    <mergeCell ref="B69:F69"/>
    <mergeCell ref="C76:F76"/>
    <mergeCell ref="B79:F79"/>
    <mergeCell ref="C155:F155"/>
    <mergeCell ref="B89:F89"/>
    <mergeCell ref="C97:F97"/>
    <mergeCell ref="B100:F100"/>
    <mergeCell ref="C112:F112"/>
    <mergeCell ref="B115:F115"/>
    <mergeCell ref="C122:F122"/>
    <mergeCell ref="B125:F125"/>
    <mergeCell ref="C132:F132"/>
    <mergeCell ref="B135:F135"/>
    <mergeCell ref="C142:F142"/>
    <mergeCell ref="B145:F145"/>
    <mergeCell ref="B225:F225"/>
    <mergeCell ref="B158:F158"/>
    <mergeCell ref="C165:F165"/>
    <mergeCell ref="B168:F168"/>
    <mergeCell ref="C177:F177"/>
    <mergeCell ref="B180:F180"/>
    <mergeCell ref="C189:F189"/>
    <mergeCell ref="B192:F192"/>
    <mergeCell ref="C202:F202"/>
    <mergeCell ref="B205:F205"/>
    <mergeCell ref="C212:F212"/>
    <mergeCell ref="B215:F215"/>
    <mergeCell ref="C307:F307"/>
    <mergeCell ref="B235:F235"/>
    <mergeCell ref="C243:F243"/>
    <mergeCell ref="B246:F246"/>
    <mergeCell ref="C254:F254"/>
    <mergeCell ref="B257:F257"/>
    <mergeCell ref="C265:F265"/>
    <mergeCell ref="B268:F268"/>
    <mergeCell ref="C278:F278"/>
    <mergeCell ref="B281:F281"/>
    <mergeCell ref="C291:F291"/>
    <mergeCell ref="B294:F294"/>
    <mergeCell ref="B344:F344"/>
    <mergeCell ref="B356:F356"/>
    <mergeCell ref="B367:F367"/>
    <mergeCell ref="B378:F378"/>
    <mergeCell ref="B310:F310"/>
    <mergeCell ref="C320:F320"/>
    <mergeCell ref="B323:F323"/>
    <mergeCell ref="B330:B331"/>
    <mergeCell ref="C330:F331"/>
    <mergeCell ref="B334:F3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Productos-precio</vt:lpstr>
      <vt:lpstr>stock reed hihgball</vt:lpstr>
      <vt:lpstr>Stock lovo</vt:lpstr>
      <vt:lpstr>Stock producciones</vt:lpstr>
      <vt:lpstr>Cristaleria</vt:lpstr>
      <vt:lpstr>Producciones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sergi</cp:lastModifiedBy>
  <dcterms:created xsi:type="dcterms:W3CDTF">2021-10-13T14:29:32Z</dcterms:created>
  <dcterms:modified xsi:type="dcterms:W3CDTF">2026-03-02T22:30:58Z</dcterms:modified>
</cp:coreProperties>
</file>